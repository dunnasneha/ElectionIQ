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Overview" sheetId="1" state="visible" r:id="rId1"/>
    <sheet xmlns:r="http://schemas.openxmlformats.org/officeDocument/2006/relationships" name="📊 Electoral Comparison" sheetId="2" state="visible" r:id="rId2"/>
    <sheet xmlns:r="http://schemas.openxmlformats.org/officeDocument/2006/relationships" name="🗳️ Election Timelines" sheetId="3" state="visible" r:id="rId3"/>
    <sheet xmlns:r="http://schemas.openxmlformats.org/officeDocument/2006/relationships" name="🧠 Quiz Questions" sheetId="4" state="visible" r:id="rId4"/>
    <sheet xmlns:r="http://schemas.openxmlformats.org/officeDocument/2006/relationships" name="📖 Glossary Terms" sheetId="5" state="visible" r:id="rId5"/>
    <sheet xmlns:r="http://schemas.openxmlformats.org/officeDocument/2006/relationships" name="📈 Voter Turnout Data" sheetId="6" state="visible" r:id="rId6"/>
    <sheet xmlns:r="http://schemas.openxmlformats.org/officeDocument/2006/relationships" name="🌍 Country Profile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25">
    <font>
      <name val="Calibri"/>
      <family val="2"/>
      <color theme="1"/>
      <sz val="11"/>
      <scheme val="minor"/>
    </font>
    <font>
      <name val="Arial"/>
      <b val="1"/>
      <color rgb="00FFFFFF"/>
      <sz val="16"/>
    </font>
    <font>
      <name val="Arial"/>
      <b val="1"/>
      <color rgb="00C9382A"/>
      <sz val="10"/>
    </font>
    <font>
      <name val="Arial"/>
      <b val="1"/>
      <color rgb="001A1814"/>
      <sz val="10"/>
    </font>
    <font>
      <name val="Arial"/>
      <color rgb="001A1814"/>
      <sz val="10"/>
    </font>
    <font>
      <name val="Arial"/>
      <b val="1"/>
      <color rgb="001E3A8A"/>
      <sz val="10"/>
    </font>
    <font>
      <name val="Arial"/>
      <b val="1"/>
      <color rgb="00FFFFFF"/>
      <sz val="10"/>
    </font>
    <font>
      <name val="Arial"/>
      <b val="1"/>
      <color rgb="00FFFFFF"/>
      <sz val="18"/>
    </font>
    <font>
      <name val="Arial"/>
      <i val="1"/>
      <color rgb="009E9890"/>
      <sz val="10"/>
    </font>
    <font>
      <name val="Arial"/>
      <color rgb="001A1814"/>
      <sz val="9"/>
    </font>
    <font>
      <name val="Arial"/>
      <b val="1"/>
      <color rgb="001A1814"/>
      <sz val="9"/>
    </font>
    <font>
      <name val="Arial"/>
      <b val="1"/>
      <color rgb="000F766E"/>
      <sz val="10"/>
    </font>
    <font>
      <name val="Arial"/>
      <b val="1"/>
      <sz val="10"/>
    </font>
    <font>
      <name val="Arial"/>
      <i val="1"/>
      <color rgb="009E9890"/>
      <sz val="9"/>
    </font>
    <font>
      <name val="Arial"/>
      <b val="1"/>
      <color rgb="000F766E"/>
      <sz val="9"/>
    </font>
    <font>
      <name val="Arial"/>
      <b val="1"/>
      <color rgb="001E3A8A"/>
      <sz val="9"/>
    </font>
    <font>
      <name val="Arial"/>
      <b val="1"/>
      <color rgb="00FFFFFF"/>
      <sz val="12"/>
    </font>
    <font>
      <name val="Arial"/>
      <b val="1"/>
      <color rgb="00166534"/>
      <sz val="9"/>
    </font>
    <font>
      <name val="Arial"/>
      <b val="1"/>
      <color rgb="00166534"/>
      <sz val="12"/>
    </font>
    <font>
      <name val="Arial"/>
      <b val="1"/>
      <color rgb="00FFFFFF"/>
      <sz val="11"/>
    </font>
    <font>
      <name val="Arial"/>
      <b val="1"/>
      <color rgb="00B45309"/>
      <sz val="9"/>
    </font>
    <font>
      <name val="Arial"/>
      <b val="1"/>
      <color rgb="007C3AED"/>
      <sz val="9"/>
    </font>
    <font>
      <name val="Arial"/>
      <color rgb="00CCCCCC"/>
      <sz val="10"/>
    </font>
    <font>
      <name val="Arial"/>
      <b val="1"/>
      <color rgb="009E9890"/>
      <sz val="10"/>
    </font>
    <font>
      <name val="Arial"/>
      <b val="1"/>
      <color rgb="00FFFFFF"/>
      <sz val="14"/>
    </font>
  </fonts>
  <fills count="30">
    <fill>
      <patternFill/>
    </fill>
    <fill>
      <patternFill patternType="gray125"/>
    </fill>
    <fill>
      <patternFill patternType="solid">
        <fgColor rgb="00C9382A"/>
      </patternFill>
    </fill>
    <fill>
      <patternFill patternType="solid">
        <fgColor rgb="00F7F5F2"/>
      </patternFill>
    </fill>
    <fill>
      <patternFill patternType="solid">
        <fgColor rgb="001E3A8A"/>
      </patternFill>
    </fill>
    <fill>
      <patternFill patternType="solid">
        <fgColor rgb="00F0EDE8"/>
      </patternFill>
    </fill>
    <fill>
      <patternFill patternType="solid">
        <fgColor rgb="00FFFFFF"/>
      </patternFill>
    </fill>
    <fill>
      <patternFill patternType="solid">
        <fgColor rgb="001A1814"/>
      </patternFill>
    </fill>
    <fill>
      <patternFill patternType="solid">
        <fgColor rgb="00E8F4FD"/>
      </patternFill>
    </fill>
    <fill>
      <patternFill patternType="solid">
        <fgColor rgb="00F0F7E8"/>
      </patternFill>
    </fill>
    <fill>
      <patternFill patternType="solid">
        <fgColor rgb="00FFF8E1"/>
      </patternFill>
    </fill>
    <fill>
      <patternFill patternType="solid">
        <fgColor rgb="00FCE4EC"/>
      </patternFill>
    </fill>
    <fill>
      <patternFill patternType="solid">
        <fgColor rgb="00F3E5F5"/>
      </patternFill>
    </fill>
    <fill>
      <patternFill patternType="solid">
        <fgColor rgb="000F766E"/>
      </patternFill>
    </fill>
    <fill>
      <patternFill patternType="solid">
        <fgColor rgb="00F0F8F0"/>
      </patternFill>
    </fill>
    <fill>
      <patternFill patternType="solid">
        <fgColor rgb="00FFF3E0"/>
      </patternFill>
    </fill>
    <fill>
      <patternFill patternType="solid">
        <fgColor rgb="00ECFDF5"/>
      </patternFill>
    </fill>
    <fill>
      <patternFill patternType="solid">
        <fgColor rgb="00E3F2FD"/>
      </patternFill>
    </fill>
    <fill>
      <patternFill patternType="solid">
        <fgColor rgb="00EFF6FF"/>
      </patternFill>
    </fill>
    <fill>
      <patternFill patternType="solid">
        <fgColor rgb="00E8F5E9"/>
      </patternFill>
    </fill>
    <fill>
      <patternFill patternType="solid">
        <fgColor rgb="00DCFCE7"/>
      </patternFill>
    </fill>
    <fill>
      <patternFill patternType="solid">
        <fgColor rgb="00FAFAFA"/>
      </patternFill>
    </fill>
    <fill>
      <patternFill patternType="solid">
        <fgColor rgb="00B45309"/>
      </patternFill>
    </fill>
    <fill>
      <patternFill patternType="solid">
        <fgColor rgb="007C3AED"/>
      </patternFill>
    </fill>
    <fill>
      <patternFill patternType="solid">
        <fgColor rgb="00FEE2E2"/>
      </patternFill>
    </fill>
    <fill>
      <patternFill patternType="solid">
        <fgColor rgb="00FFF9C4"/>
      </patternFill>
    </fill>
    <fill>
      <patternFill patternType="solid">
        <fgColor rgb="00444444"/>
      </patternFill>
    </fill>
    <fill>
      <patternFill patternType="solid">
        <fgColor rgb="00FCFCFC"/>
      </patternFill>
    </fill>
    <fill>
      <patternFill patternType="solid">
        <fgColor rgb="001D4ED8"/>
      </patternFill>
    </fill>
    <fill>
      <patternFill patternType="solid">
        <fgColor rgb="001E40AF"/>
      </patternFill>
    </fill>
  </fills>
  <borders count="6">
    <border>
      <left/>
      <right/>
      <top/>
      <bottom/>
      <diagonal/>
    </border>
    <border>
      <left style="thin">
        <color rgb="00E0DDD8"/>
      </left>
      <right style="thin">
        <color rgb="00E0DDD8"/>
      </right>
      <top style="thin">
        <color rgb="00E0DDD8"/>
      </top>
      <bottom style="thin">
        <color rgb="00E0DDD8"/>
      </bottom>
    </border>
    <border>
      <left/>
      <right/>
      <top style="thin">
        <color rgb="00E0DDD8"/>
      </top>
      <bottom/>
      <diagonal/>
    </border>
    <border>
      <left/>
      <right style="thin">
        <color rgb="00E0DDD8"/>
      </right>
      <top style="thin">
        <color rgb="00E0DDD8"/>
      </top>
      <bottom/>
      <diagonal/>
    </border>
    <border>
      <left/>
      <right/>
      <top style="thin">
        <color rgb="00E0DDD8"/>
      </top>
      <bottom style="thin">
        <color rgb="00E0DDD8"/>
      </bottom>
      <diagonal/>
    </border>
    <border>
      <left/>
      <right style="thin">
        <color rgb="00E0DDD8"/>
      </right>
      <top style="thin">
        <color rgb="00E0DDD8"/>
      </top>
      <bottom style="thin">
        <color rgb="00E0DDD8"/>
      </bottom>
      <diagonal/>
    </border>
  </borders>
  <cellStyleXfs count="1">
    <xf numFmtId="0" fontId="0" fillId="0" borderId="0"/>
  </cellStyleXfs>
  <cellXfs count="84">
    <xf numFmtId="0" fontId="0" fillId="0" borderId="0" pivotButton="0" quotePrefix="0" xfId="0"/>
    <xf numFmtId="0" fontId="7" fillId="2" borderId="0" applyAlignment="1" pivotButton="0" quotePrefix="0" xfId="0">
      <alignment horizontal="left" vertical="center" indent="1"/>
    </xf>
    <xf numFmtId="0" fontId="2" fillId="0" borderId="0" applyAlignment="1" pivotButton="0" quotePrefix="0" xfId="0">
      <alignment horizontal="left" vertical="center"/>
    </xf>
    <xf numFmtId="0" fontId="3" fillId="3" borderId="1" applyAlignment="1" pivotButton="0" quotePrefix="0" xfId="0">
      <alignment horizontal="left" vertical="center"/>
    </xf>
    <xf numFmtId="0" fontId="4" fillId="0" borderId="1" applyAlignment="1" pivotButton="0" quotePrefix="0" xfId="0">
      <alignment horizontal="left" vertical="center"/>
    </xf>
    <xf numFmtId="0" fontId="0" fillId="0" borderId="4" pivotButton="0" quotePrefix="0" xfId="0"/>
    <xf numFmtId="0" fontId="0" fillId="0" borderId="5" pivotButton="0" quotePrefix="0" xfId="0"/>
    <xf numFmtId="0" fontId="5" fillId="0" borderId="0" applyAlignment="1" pivotButton="0" quotePrefix="0" xfId="0">
      <alignment horizontal="left" vertical="center"/>
    </xf>
    <xf numFmtId="0" fontId="6" fillId="4" borderId="1" applyAlignment="1" pivotButton="0" quotePrefix="0" xfId="0">
      <alignment horizontal="center" vertical="center" wrapText="1"/>
    </xf>
    <xf numFmtId="0" fontId="4" fillId="5" borderId="1" applyAlignment="1" pivotButton="0" quotePrefix="0" xfId="0">
      <alignment horizontal="center" vertical="center"/>
    </xf>
    <xf numFmtId="0" fontId="4" fillId="5" borderId="1" applyAlignment="1" pivotButton="0" quotePrefix="0" xfId="0">
      <alignment horizontal="left" vertical="center" wrapText="1"/>
    </xf>
    <xf numFmtId="0" fontId="4" fillId="6" borderId="1" applyAlignment="1" pivotButton="0" quotePrefix="0" xfId="0">
      <alignment horizontal="center" vertical="center"/>
    </xf>
    <xf numFmtId="0" fontId="4" fillId="6" borderId="1" applyAlignment="1" pivotButton="0" quotePrefix="0" xfId="0">
      <alignment horizontal="left" vertical="center" wrapText="1"/>
    </xf>
    <xf numFmtId="0" fontId="1" fillId="2" borderId="0" applyAlignment="1" pivotButton="0" quotePrefix="0" xfId="0">
      <alignment horizontal="left" vertical="center" indent="1"/>
    </xf>
    <xf numFmtId="0" fontId="8" fillId="3" borderId="0" applyAlignment="1" pivotButton="0" quotePrefix="0" xfId="0">
      <alignment horizontal="left" vertical="center"/>
    </xf>
    <xf numFmtId="0" fontId="6" fillId="7" borderId="1" applyAlignment="1" pivotButton="0" quotePrefix="0" xfId="0">
      <alignment horizontal="center" vertical="center"/>
    </xf>
    <xf numFmtId="0" fontId="9" fillId="6" borderId="1" applyAlignment="1" pivotButton="0" quotePrefix="0" xfId="0">
      <alignment horizontal="center" vertical="center"/>
    </xf>
    <xf numFmtId="0" fontId="9" fillId="6" borderId="1" applyAlignment="1" pivotButton="0" quotePrefix="0" xfId="0">
      <alignment horizontal="left" vertical="center" wrapText="1"/>
    </xf>
    <xf numFmtId="0" fontId="10" fillId="8" borderId="1" applyAlignment="1" pivotButton="0" quotePrefix="0" xfId="0">
      <alignment horizontal="center" vertical="center"/>
    </xf>
    <xf numFmtId="0" fontId="9" fillId="8" borderId="1" applyAlignment="1" pivotButton="0" quotePrefix="0" xfId="0">
      <alignment horizontal="left" vertical="center" wrapText="1"/>
    </xf>
    <xf numFmtId="0" fontId="9" fillId="3" borderId="1" applyAlignment="1" pivotButton="0" quotePrefix="0" xfId="0">
      <alignment horizontal="center" vertical="center"/>
    </xf>
    <xf numFmtId="0" fontId="9" fillId="3" borderId="1" applyAlignment="1" pivotButton="0" quotePrefix="0" xfId="0">
      <alignment horizontal="left" vertical="center" wrapText="1"/>
    </xf>
    <xf numFmtId="0" fontId="10" fillId="9" borderId="1" applyAlignment="1" pivotButton="0" quotePrefix="0" xfId="0">
      <alignment horizontal="center" vertical="center"/>
    </xf>
    <xf numFmtId="0" fontId="9" fillId="9" borderId="1" applyAlignment="1" pivotButton="0" quotePrefix="0" xfId="0">
      <alignment horizontal="left" vertical="center" wrapText="1"/>
    </xf>
    <xf numFmtId="0" fontId="10" fillId="10" borderId="1" applyAlignment="1" pivotButton="0" quotePrefix="0" xfId="0">
      <alignment horizontal="center" vertical="center"/>
    </xf>
    <xf numFmtId="0" fontId="9" fillId="10" borderId="1" applyAlignment="1" pivotButton="0" quotePrefix="0" xfId="0">
      <alignment horizontal="left" vertical="center" wrapText="1"/>
    </xf>
    <xf numFmtId="0" fontId="10" fillId="11" borderId="1" applyAlignment="1" pivotButton="0" quotePrefix="0" xfId="0">
      <alignment horizontal="center" vertical="center"/>
    </xf>
    <xf numFmtId="0" fontId="9" fillId="11" borderId="1" applyAlignment="1" pivotButton="0" quotePrefix="0" xfId="0">
      <alignment horizontal="left" vertical="center" wrapText="1"/>
    </xf>
    <xf numFmtId="0" fontId="10" fillId="12" borderId="1" applyAlignment="1" pivotButton="0" quotePrefix="0" xfId="0">
      <alignment horizontal="center" vertical="center"/>
    </xf>
    <xf numFmtId="0" fontId="9" fillId="12" borderId="1" applyAlignment="1" pivotButton="0" quotePrefix="0" xfId="0">
      <alignment horizontal="left" vertical="center" wrapText="1"/>
    </xf>
    <xf numFmtId="0" fontId="11" fillId="0" borderId="0" pivotButton="0" quotePrefix="0" xfId="0"/>
    <xf numFmtId="0" fontId="6" fillId="13" borderId="1" applyAlignment="1" pivotButton="0" quotePrefix="0" xfId="0">
      <alignment horizontal="center" vertical="center" wrapText="1"/>
    </xf>
    <xf numFmtId="0" fontId="4" fillId="14" borderId="1" applyAlignment="1" pivotButton="0" quotePrefix="0" xfId="0">
      <alignment horizontal="center" vertical="center"/>
    </xf>
    <xf numFmtId="0" fontId="6" fillId="7" borderId="1" applyAlignment="1" pivotButton="0" quotePrefix="0" xfId="0">
      <alignment horizontal="center" vertical="center" wrapText="1"/>
    </xf>
    <xf numFmtId="0" fontId="3" fillId="3" borderId="1" applyAlignment="1" pivotButton="0" quotePrefix="0" xfId="0">
      <alignment horizontal="center" vertical="center"/>
    </xf>
    <xf numFmtId="0" fontId="6" fillId="2" borderId="1" applyAlignment="1" pivotButton="0" quotePrefix="0" xfId="0">
      <alignment horizontal="center" vertical="center"/>
    </xf>
    <xf numFmtId="0" fontId="10" fillId="15" borderId="1" applyAlignment="1" pivotButton="0" quotePrefix="0" xfId="0">
      <alignment horizontal="center" vertical="center" wrapText="1"/>
    </xf>
    <xf numFmtId="0" fontId="9" fillId="6" borderId="1" applyAlignment="1" pivotButton="0" quotePrefix="0" xfId="0">
      <alignment horizontal="left" vertical="center"/>
    </xf>
    <xf numFmtId="0" fontId="13" fillId="6" borderId="1" applyAlignment="1" pivotButton="0" quotePrefix="0" xfId="0">
      <alignment horizontal="left" vertical="center" wrapText="1"/>
    </xf>
    <xf numFmtId="0" fontId="14" fillId="16" borderId="1" applyAlignment="1" pivotButton="0" quotePrefix="0" xfId="0">
      <alignment horizontal="center" vertical="center"/>
    </xf>
    <xf numFmtId="0" fontId="13" fillId="3" borderId="1" applyAlignment="1" pivotButton="0" quotePrefix="0" xfId="0">
      <alignment horizontal="left" vertical="center" wrapText="1"/>
    </xf>
    <xf numFmtId="0" fontId="10" fillId="17" borderId="1" applyAlignment="1" pivotButton="0" quotePrefix="0" xfId="0">
      <alignment horizontal="center" vertical="center" wrapText="1"/>
    </xf>
    <xf numFmtId="0" fontId="15" fillId="18" borderId="1" applyAlignment="1" pivotButton="0" quotePrefix="0" xfId="0">
      <alignment horizontal="center" vertical="center"/>
    </xf>
    <xf numFmtId="0" fontId="10" fillId="12" borderId="1" applyAlignment="1" pivotButton="0" quotePrefix="0" xfId="0">
      <alignment horizontal="center" vertical="center" wrapText="1"/>
    </xf>
    <xf numFmtId="0" fontId="10" fillId="19" borderId="1" applyAlignment="1" pivotButton="0" quotePrefix="0" xfId="0">
      <alignment horizontal="center" vertical="center" wrapText="1"/>
    </xf>
    <xf numFmtId="0" fontId="10" fillId="11" borderId="1" applyAlignment="1" pivotButton="0" quotePrefix="0" xfId="0">
      <alignment horizontal="center" vertical="center" wrapText="1"/>
    </xf>
    <xf numFmtId="0" fontId="1" fillId="4" borderId="0" applyAlignment="1" pivotButton="0" quotePrefix="0" xfId="0">
      <alignment horizontal="left" vertical="center" indent="1"/>
    </xf>
    <xf numFmtId="0" fontId="16" fillId="4" borderId="1" applyAlignment="1" pivotButton="0" quotePrefix="0" xfId="0">
      <alignment horizontal="center" vertical="center"/>
    </xf>
    <xf numFmtId="0" fontId="3" fillId="3" borderId="1" applyAlignment="1" pivotButton="0" quotePrefix="0" xfId="0">
      <alignment horizontal="left" vertical="center" wrapText="1"/>
    </xf>
    <xf numFmtId="0" fontId="17" fillId="20" borderId="1" applyAlignment="1" pivotButton="0" quotePrefix="0" xfId="0">
      <alignment horizontal="left" vertical="center" wrapText="1"/>
    </xf>
    <xf numFmtId="0" fontId="18" fillId="20" borderId="1" applyAlignment="1" pivotButton="0" quotePrefix="0" xfId="0">
      <alignment horizontal="center" vertical="center"/>
    </xf>
    <xf numFmtId="0" fontId="13" fillId="21" borderId="1" applyAlignment="1" pivotButton="0" quotePrefix="0" xfId="0">
      <alignment horizontal="left" vertical="center" wrapText="1"/>
    </xf>
    <xf numFmtId="0" fontId="1" fillId="22" borderId="0" applyAlignment="1" pivotButton="0" quotePrefix="0" xfId="0">
      <alignment horizontal="left" vertical="center" indent="1"/>
    </xf>
    <xf numFmtId="0" fontId="6" fillId="22" borderId="1" applyAlignment="1" pivotButton="0" quotePrefix="0" xfId="0">
      <alignment horizontal="center" vertical="center" wrapText="1"/>
    </xf>
    <xf numFmtId="0" fontId="19" fillId="22" borderId="1" applyAlignment="1" pivotButton="0" quotePrefix="0" xfId="0">
      <alignment horizontal="center" vertical="center"/>
    </xf>
    <xf numFmtId="0" fontId="20" fillId="15" borderId="1" applyAlignment="1" pivotButton="0" quotePrefix="0" xfId="0">
      <alignment horizontal="center" vertical="center"/>
    </xf>
    <xf numFmtId="0" fontId="13" fillId="15" borderId="1" applyAlignment="1" pivotButton="0" quotePrefix="0" xfId="0">
      <alignment horizontal="left" vertical="center" wrapText="1"/>
    </xf>
    <xf numFmtId="0" fontId="19" fillId="4" borderId="1" applyAlignment="1" pivotButton="0" quotePrefix="0" xfId="0">
      <alignment horizontal="center" vertical="center"/>
    </xf>
    <xf numFmtId="0" fontId="15" fillId="17" borderId="1" applyAlignment="1" pivotButton="0" quotePrefix="0" xfId="0">
      <alignment horizontal="center" vertical="center"/>
    </xf>
    <xf numFmtId="0" fontId="13" fillId="17" borderId="1" applyAlignment="1" pivotButton="0" quotePrefix="0" xfId="0">
      <alignment horizontal="left" vertical="center" wrapText="1"/>
    </xf>
    <xf numFmtId="0" fontId="19" fillId="23" borderId="1" applyAlignment="1" pivotButton="0" quotePrefix="0" xfId="0">
      <alignment horizontal="center" vertical="center"/>
    </xf>
    <xf numFmtId="0" fontId="21" fillId="12" borderId="1" applyAlignment="1" pivotButton="0" quotePrefix="0" xfId="0">
      <alignment horizontal="center" vertical="center"/>
    </xf>
    <xf numFmtId="0" fontId="13" fillId="12" borderId="1" applyAlignment="1" pivotButton="0" quotePrefix="0" xfId="0">
      <alignment horizontal="left" vertical="center" wrapText="1"/>
    </xf>
    <xf numFmtId="0" fontId="19" fillId="13" borderId="1" applyAlignment="1" pivotButton="0" quotePrefix="0" xfId="0">
      <alignment horizontal="center" vertical="center"/>
    </xf>
    <xf numFmtId="0" fontId="14" fillId="19" borderId="1" applyAlignment="1" pivotButton="0" quotePrefix="0" xfId="0">
      <alignment horizontal="center" vertical="center"/>
    </xf>
    <xf numFmtId="0" fontId="13" fillId="19" borderId="1" applyAlignment="1" pivotButton="0" quotePrefix="0" xfId="0">
      <alignment horizontal="left" vertical="center" wrapText="1"/>
    </xf>
    <xf numFmtId="164" fontId="4" fillId="24" borderId="1" applyAlignment="1" pivotButton="0" quotePrefix="0" xfId="0">
      <alignment horizontal="center" vertical="center"/>
    </xf>
    <xf numFmtId="164" fontId="4" fillId="25" borderId="1" applyAlignment="1" pivotButton="0" quotePrefix="0" xfId="0">
      <alignment horizontal="center" vertical="center"/>
    </xf>
    <xf numFmtId="164" fontId="3" fillId="20" borderId="1" applyAlignment="1" pivotButton="0" quotePrefix="0" xfId="0">
      <alignment horizontal="center" vertical="center"/>
    </xf>
    <xf numFmtId="164" fontId="5" fillId="18" borderId="1" applyAlignment="1" pivotButton="0" quotePrefix="0" xfId="0">
      <alignment horizontal="center" vertical="center"/>
    </xf>
    <xf numFmtId="0" fontId="22" fillId="21" borderId="1" applyAlignment="1" pivotButton="0" quotePrefix="0" xfId="0">
      <alignment horizontal="center" vertical="center"/>
    </xf>
    <xf numFmtId="0" fontId="23" fillId="0" borderId="0" pivotButton="0" quotePrefix="0" xfId="0"/>
    <xf numFmtId="0" fontId="13" fillId="0" borderId="0" pivotButton="0" quotePrefix="0" xfId="0"/>
    <xf numFmtId="0" fontId="1" fillId="13" borderId="0" applyAlignment="1" pivotButton="0" quotePrefix="0" xfId="0">
      <alignment horizontal="left" vertical="center" indent="1"/>
    </xf>
    <xf numFmtId="0" fontId="24" fillId="2" borderId="0" applyAlignment="1" pivotButton="0" quotePrefix="0" xfId="0">
      <alignment horizontal="left" vertical="center" indent="1"/>
    </xf>
    <xf numFmtId="0" fontId="6" fillId="26" borderId="1" applyAlignment="1" pivotButton="0" quotePrefix="0" xfId="0">
      <alignment horizontal="center" vertical="center" wrapText="1"/>
    </xf>
    <xf numFmtId="0" fontId="10" fillId="3" borderId="1" applyAlignment="1" pivotButton="0" quotePrefix="0" xfId="0">
      <alignment horizontal="left" vertical="center"/>
    </xf>
    <xf numFmtId="0" fontId="10" fillId="21" borderId="1" applyAlignment="1" pivotButton="0" quotePrefix="0" xfId="0">
      <alignment horizontal="left" vertical="center"/>
    </xf>
    <xf numFmtId="0" fontId="9" fillId="27" borderId="1" applyAlignment="1" pivotButton="0" quotePrefix="0" xfId="0">
      <alignment horizontal="left" vertical="center" wrapText="1"/>
    </xf>
    <xf numFmtId="0" fontId="24" fillId="22" borderId="0" applyAlignment="1" pivotButton="0" quotePrefix="0" xfId="0">
      <alignment horizontal="left" vertical="center" indent="1"/>
    </xf>
    <xf numFmtId="0" fontId="24" fillId="4" borderId="0" applyAlignment="1" pivotButton="0" quotePrefix="0" xfId="0">
      <alignment horizontal="left" vertical="center" indent="1"/>
    </xf>
    <xf numFmtId="0" fontId="24" fillId="28" borderId="0" applyAlignment="1" pivotButton="0" quotePrefix="0" xfId="0">
      <alignment horizontal="left" vertical="center" indent="1"/>
    </xf>
    <xf numFmtId="0" fontId="24" fillId="29" borderId="0" applyAlignment="1" pivotButton="0" quotePrefix="0" xfId="0">
      <alignment horizontal="left" vertical="center" indent="1"/>
    </xf>
    <xf numFmtId="0" fontId="24" fillId="13"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Electoral Systems — Key Metrics Comparison</a:t>
            </a:r>
          </a:p>
        </rich>
      </tx>
    </title>
    <plotArea>
      <barChart>
        <barDir val="col"/>
        <grouping val="clustered"/>
        <ser>
          <idx val="0"/>
          <order val="0"/>
          <tx>
            <strRef>
              <f>'📊 Electoral Comparison'!B26</f>
            </strRef>
          </tx>
          <spPr>
            <a:solidFill xmlns:a="http://schemas.openxmlformats.org/drawingml/2006/main">
              <a:srgbClr val="C9382A"/>
            </a:solidFill>
            <a:ln xmlns:a="http://schemas.openxmlformats.org/drawingml/2006/main">
              <a:prstDash val="solid"/>
            </a:ln>
          </spPr>
          <cat>
            <numRef>
              <f>'📊 Electoral Comparison'!$A$27:$A$32</f>
            </numRef>
          </cat>
          <val>
            <numRef>
              <f>'📊 Electoral Comparison'!$B$27:$B$32</f>
            </numRef>
          </val>
        </ser>
        <ser>
          <idx val="1"/>
          <order val="1"/>
          <tx>
            <strRef>
              <f>'📊 Electoral Comparison'!C26</f>
            </strRef>
          </tx>
          <spPr>
            <a:solidFill xmlns:a="http://schemas.openxmlformats.org/drawingml/2006/main">
              <a:srgbClr val="1E3A8A"/>
            </a:solidFill>
            <a:ln xmlns:a="http://schemas.openxmlformats.org/drawingml/2006/main">
              <a:prstDash val="solid"/>
            </a:ln>
          </spPr>
          <cat>
            <numRef>
              <f>'📊 Electoral Comparison'!$A$27:$A$32</f>
            </numRef>
          </cat>
          <val>
            <numRef>
              <f>'📊 Electoral Comparison'!$C$27:$C$32</f>
            </numRef>
          </val>
        </ser>
        <ser>
          <idx val="2"/>
          <order val="2"/>
          <tx>
            <strRef>
              <f>'📊 Electoral Comparison'!D26</f>
            </strRef>
          </tx>
          <spPr>
            <a:solidFill xmlns:a="http://schemas.openxmlformats.org/drawingml/2006/main">
              <a:srgbClr val="0F766E"/>
            </a:solidFill>
            <a:ln xmlns:a="http://schemas.openxmlformats.org/drawingml/2006/main">
              <a:prstDash val="solid"/>
            </a:ln>
          </spPr>
          <cat>
            <numRef>
              <f>'📊 Electoral Comparison'!$A$27:$A$32</f>
            </numRef>
          </cat>
          <val>
            <numRef>
              <f>'📊 Electoral Comparison'!$D$27:$D$32</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Metric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 / Percentage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Voter Turnout Trends — USA, Germany, UK</a:t>
            </a:r>
          </a:p>
        </rich>
      </tx>
    </title>
    <plotArea>
      <lineChart>
        <grouping val="standard"/>
        <ser>
          <idx val="0"/>
          <order val="0"/>
          <tx>
            <strRef>
              <f>'📈 Voter Turnout Data'!B4</f>
            </strRef>
          </tx>
          <spPr>
            <a:ln xmlns:a="http://schemas.openxmlformats.org/drawingml/2006/main" w="20000">
              <a:solidFill>
                <a:srgbClr val="C9382A"/>
              </a:solidFill>
              <a:prstDash val="solid"/>
            </a:ln>
          </spPr>
          <marker>
            <symbol val="none"/>
            <spPr>
              <a:ln xmlns:a="http://schemas.openxmlformats.org/drawingml/2006/main">
                <a:prstDash val="solid"/>
              </a:ln>
            </spPr>
          </marker>
          <cat>
            <numRef>
              <f>'📈 Voter Turnout Data'!$A$5:$A$24</f>
            </numRef>
          </cat>
          <val>
            <numRef>
              <f>'📈 Voter Turnout Data'!$B$5:$B$24</f>
            </numRef>
          </val>
        </ser>
        <ser>
          <idx val="1"/>
          <order val="1"/>
          <tx>
            <strRef>
              <f>'📈 Voter Turnout Data'!C4</f>
            </strRef>
          </tx>
          <spPr>
            <a:ln xmlns:a="http://schemas.openxmlformats.org/drawingml/2006/main" w="20000">
              <a:solidFill>
                <a:srgbClr val="1E3A8A"/>
              </a:solidFill>
              <a:prstDash val="solid"/>
            </a:ln>
          </spPr>
          <marker>
            <symbol val="none"/>
            <spPr>
              <a:ln xmlns:a="http://schemas.openxmlformats.org/drawingml/2006/main">
                <a:prstDash val="solid"/>
              </a:ln>
            </spPr>
          </marker>
          <cat>
            <numRef>
              <f>'📈 Voter Turnout Data'!$A$5:$A$24</f>
            </numRef>
          </cat>
          <val>
            <numRef>
              <f>'📈 Voter Turnout Data'!$C$5:$C$24</f>
            </numRef>
          </val>
        </ser>
        <ser>
          <idx val="2"/>
          <order val="2"/>
          <tx>
            <strRef>
              <f>'📈 Voter Turnout Data'!D4</f>
            </strRef>
          </tx>
          <spPr>
            <a:ln xmlns:a="http://schemas.openxmlformats.org/drawingml/2006/main" w="20000">
              <a:solidFill>
                <a:srgbClr val="0F766E"/>
              </a:solidFill>
              <a:prstDash val="solid"/>
            </a:ln>
          </spPr>
          <marker>
            <symbol val="none"/>
            <spPr>
              <a:ln xmlns:a="http://schemas.openxmlformats.org/drawingml/2006/main">
                <a:prstDash val="solid"/>
              </a:ln>
            </spPr>
          </marker>
          <cat>
            <numRef>
              <f>'📈 Voter Turnout Data'!$A$5:$A$24</f>
            </numRef>
          </cat>
          <val>
            <numRef>
              <f>'📈 Voter Turnout Data'!$D$5:$D$24</f>
            </numRef>
          </val>
        </ser>
        <ser>
          <idx val="3"/>
          <order val="3"/>
          <tx>
            <strRef>
              <f>'📈 Voter Turnout Data'!E4</f>
            </strRef>
          </tx>
          <spPr>
            <a:ln xmlns:a="http://schemas.openxmlformats.org/drawingml/2006/main">
              <a:prstDash val="solid"/>
            </a:ln>
          </spPr>
          <marker>
            <symbol val="none"/>
            <spPr>
              <a:ln xmlns:a="http://schemas.openxmlformats.org/drawingml/2006/main">
                <a:prstDash val="solid"/>
              </a:ln>
            </spPr>
          </marker>
          <cat>
            <numRef>
              <f>'📈 Voter Turnout Data'!$A$5:$A$24</f>
            </numRef>
          </cat>
          <val>
            <numRef>
              <f>'📈 Voter Turnout Data'!$E$5:$E$24</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max val="1"/>
          <min val="0.4"/>
        </scaling>
        <axPos val="l"/>
        <majorGridlines/>
        <title>
          <tx>
            <rich>
              <a:bodyPr xmlns:a="http://schemas.openxmlformats.org/drawingml/2006/main"/>
              <a:p xmlns:a="http://schemas.openxmlformats.org/drawingml/2006/main">
                <a:pPr>
                  <a:defRPr/>
                </a:pPr>
                <a:r>
                  <a:t>Turnout %</a:t>
                </a:r>
              </a:p>
            </rich>
          </tx>
        </title>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6</col>
      <colOff>0</colOff>
      <row>25</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10</col>
      <colOff>0</colOff>
      <row>3</row>
      <rowOff>0</rowOff>
    </from>
    <ext cx="792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H24"/>
  <sheetViews>
    <sheetView showGridLines="0" workbookViewId="0">
      <selection activeCell="A1" sqref="A1"/>
    </sheetView>
  </sheetViews>
  <sheetFormatPr baseColWidth="8" defaultRowHeight="15"/>
  <cols>
    <col width="6" customWidth="1" min="1" max="1"/>
    <col width="26" customWidth="1" min="2" max="2"/>
    <col width="55" customWidth="1" min="3" max="3"/>
    <col width="24" customWidth="1" min="4" max="4"/>
    <col width="12" customWidth="1" min="5" max="5"/>
    <col width="12" customWidth="1" min="6" max="6"/>
    <col width="12" customWidth="1" min="7" max="7"/>
    <col width="12" customWidth="1" min="8" max="8"/>
  </cols>
  <sheetData>
    <row r="1" ht="36" customHeight="1">
      <c r="A1" s="1" t="inlineStr">
        <is>
          <t>ElectIQ — Election Intelligence Platform</t>
        </is>
      </c>
    </row>
    <row r="2">
      <c r="A2" t="inlineStr">
        <is>
          <t>Project Data Workbook  |  Complete Submission Package  |  v1.0</t>
        </is>
      </c>
    </row>
    <row r="3" ht="12" customHeight="1"/>
    <row r="4" ht="22" customHeight="1">
      <c r="A4" s="2" t="inlineStr">
        <is>
          <t>PROJECT INFORMATION</t>
        </is>
      </c>
    </row>
    <row r="5" ht="22" customHeight="1">
      <c r="A5" s="3" t="inlineStr">
        <is>
          <t>Project Name</t>
        </is>
      </c>
      <c r="B5" s="4" t="inlineStr">
        <is>
          <t>ElectIQ — Election Intelligence Platform</t>
        </is>
      </c>
      <c r="C5" s="5" t="n"/>
      <c r="D5" s="5" t="n"/>
      <c r="E5" s="5" t="n"/>
      <c r="F5" s="5" t="n"/>
      <c r="G5" s="5" t="n"/>
      <c r="H5" s="6" t="n"/>
    </row>
    <row r="6" ht="22" customHeight="1">
      <c r="A6" s="3" t="inlineStr">
        <is>
          <t>Version</t>
        </is>
      </c>
      <c r="B6" s="4" t="inlineStr">
        <is>
          <t>1.0.0 — Final Submission</t>
        </is>
      </c>
      <c r="C6" s="5" t="n"/>
      <c r="D6" s="5" t="n"/>
      <c r="E6" s="5" t="n"/>
      <c r="F6" s="5" t="n"/>
      <c r="G6" s="5" t="n"/>
      <c r="H6" s="6" t="n"/>
    </row>
    <row r="7" ht="22" customHeight="1">
      <c r="A7" s="3" t="inlineStr">
        <is>
          <t>Date</t>
        </is>
      </c>
      <c r="B7" s="4" t="inlineStr">
        <is>
          <t>April 25, 2026</t>
        </is>
      </c>
      <c r="C7" s="5" t="n"/>
      <c r="D7" s="5" t="n"/>
      <c r="E7" s="5" t="n"/>
      <c r="F7" s="5" t="n"/>
      <c r="G7" s="5" t="n"/>
      <c r="H7" s="6" t="n"/>
    </row>
    <row r="8" ht="22" customHeight="1">
      <c r="A8" s="3" t="inlineStr">
        <is>
          <t>Platform</t>
        </is>
      </c>
      <c r="B8" s="4" t="inlineStr">
        <is>
          <t>Web — Single-File HTML Application</t>
        </is>
      </c>
      <c r="C8" s="5" t="n"/>
      <c r="D8" s="5" t="n"/>
      <c r="E8" s="5" t="n"/>
      <c r="F8" s="5" t="n"/>
      <c r="G8" s="5" t="n"/>
      <c r="H8" s="6" t="n"/>
    </row>
    <row r="9" ht="22" customHeight="1">
      <c r="A9" s="3" t="inlineStr">
        <is>
          <t>Technology Stack</t>
        </is>
      </c>
      <c r="B9" s="4" t="inlineStr">
        <is>
          <t>HTML5, CSS3, JavaScript ES6+, Anthropic Claude API</t>
        </is>
      </c>
      <c r="C9" s="5" t="n"/>
      <c r="D9" s="5" t="n"/>
      <c r="E9" s="5" t="n"/>
      <c r="F9" s="5" t="n"/>
      <c r="G9" s="5" t="n"/>
      <c r="H9" s="6" t="n"/>
    </row>
    <row r="10" ht="22" customHeight="1">
      <c r="A10" s="3" t="inlineStr">
        <is>
          <t>Total Modules</t>
        </is>
      </c>
      <c r="B10" s="4" t="inlineStr">
        <is>
          <t>7 (5 Core + 2 Bonus)</t>
        </is>
      </c>
      <c r="C10" s="5" t="n"/>
      <c r="D10" s="5" t="n"/>
      <c r="E10" s="5" t="n"/>
      <c r="F10" s="5" t="n"/>
      <c r="G10" s="5" t="n"/>
      <c r="H10" s="6" t="n"/>
    </row>
    <row r="11" ht="22" customHeight="1">
      <c r="A11" s="3" t="inlineStr">
        <is>
          <t>File Size</t>
        </is>
      </c>
      <c r="B11" s="4" t="inlineStr">
        <is>
          <t>~98 KB (fully self-contained)</t>
        </is>
      </c>
      <c r="C11" s="5" t="n"/>
      <c r="D11" s="5" t="n"/>
      <c r="E11" s="5" t="n"/>
      <c r="F11" s="5" t="n"/>
      <c r="G11" s="5" t="n"/>
      <c r="H11" s="6" t="n"/>
    </row>
    <row r="12" ht="22" customHeight="1">
      <c r="A12" s="3" t="inlineStr">
        <is>
          <t>Browser Support</t>
        </is>
      </c>
      <c r="B12" s="4" t="inlineStr">
        <is>
          <t>Chrome 90+, Firefox 88+, Safari 14+, Edge 90+</t>
        </is>
      </c>
      <c r="C12" s="5" t="n"/>
      <c r="D12" s="5" t="n"/>
      <c r="E12" s="5" t="n"/>
      <c r="F12" s="5" t="n"/>
      <c r="G12" s="5" t="n"/>
      <c r="H12" s="6" t="n"/>
    </row>
    <row r="13" ht="22" customHeight="1">
      <c r="A13" s="3" t="inlineStr">
        <is>
          <t>Author</t>
        </is>
      </c>
      <c r="B13" s="4" t="inlineStr">
        <is>
          <t>ElectIQ Development Team</t>
        </is>
      </c>
      <c r="C13" s="5" t="n"/>
      <c r="D13" s="5" t="n"/>
      <c r="E13" s="5" t="n"/>
      <c r="F13" s="5" t="n"/>
      <c r="G13" s="5" t="n"/>
      <c r="H13" s="6" t="n"/>
    </row>
    <row r="14" ht="22" customHeight="1">
      <c r="A14" s="3" t="inlineStr">
        <is>
          <t>License</t>
        </is>
      </c>
      <c r="B14" s="4" t="inlineStr">
        <is>
          <t>Educational Use — Open Source</t>
        </is>
      </c>
      <c r="C14" s="5" t="n"/>
      <c r="D14" s="5" t="n"/>
      <c r="E14" s="5" t="n"/>
      <c r="F14" s="5" t="n"/>
      <c r="G14" s="5" t="n"/>
      <c r="H14" s="6" t="n"/>
    </row>
    <row r="15" ht="12" customHeight="1"/>
    <row r="16" ht="22" customHeight="1">
      <c r="A16" s="7" t="inlineStr">
        <is>
          <t>WORKBOOK CONTENTS</t>
        </is>
      </c>
    </row>
    <row r="17" ht="28" customHeight="1">
      <c r="A17" s="8" t="inlineStr">
        <is>
          <t>#</t>
        </is>
      </c>
      <c r="B17" s="8" t="inlineStr">
        <is>
          <t>Sheet Name</t>
        </is>
      </c>
      <c r="C17" s="8" t="inlineStr">
        <is>
          <t>Contents</t>
        </is>
      </c>
      <c r="D17" s="8" t="inlineStr">
        <is>
          <t>Records</t>
        </is>
      </c>
    </row>
    <row r="18" ht="20" customHeight="1">
      <c r="A18" s="9" t="inlineStr">
        <is>
          <t>1</t>
        </is>
      </c>
      <c r="B18" s="10" t="inlineStr">
        <is>
          <t>📋 Overview</t>
        </is>
      </c>
      <c r="C18" s="10" t="inlineStr">
        <is>
          <t>Project summary, metadata, and workbook index</t>
        </is>
      </c>
      <c r="D18" s="9" t="inlineStr">
        <is>
          <t>—</t>
        </is>
      </c>
    </row>
    <row r="19" ht="20" customHeight="1">
      <c r="A19" s="11" t="inlineStr">
        <is>
          <t>2</t>
        </is>
      </c>
      <c r="B19" s="12" t="inlineStr">
        <is>
          <t>📊 Electoral Comparison</t>
        </is>
      </c>
      <c r="C19" s="12" t="inlineStr">
        <is>
          <t>USA vs India vs Germany — all electoral metrics side-by-side</t>
        </is>
      </c>
      <c r="D19" s="11" t="inlineStr">
        <is>
          <t>12 metrics × 3 countries</t>
        </is>
      </c>
    </row>
    <row r="20" ht="20" customHeight="1">
      <c r="A20" s="9" t="inlineStr">
        <is>
          <t>3</t>
        </is>
      </c>
      <c r="B20" s="10" t="inlineStr">
        <is>
          <t>🗳️ Election Timelines</t>
        </is>
      </c>
      <c r="C20" s="10" t="inlineStr">
        <is>
          <t>Step-by-step election process data for 4 countries</t>
        </is>
      </c>
      <c r="D20" s="9" t="inlineStr">
        <is>
          <t>7 steps × 4 countries</t>
        </is>
      </c>
    </row>
    <row r="21" ht="20" customHeight="1">
      <c r="A21" s="11" t="inlineStr">
        <is>
          <t>4</t>
        </is>
      </c>
      <c r="B21" s="12" t="inlineStr">
        <is>
          <t>🧠 Quiz Questions</t>
        </is>
      </c>
      <c r="C21" s="12" t="inlineStr">
        <is>
          <t>All 10 quiz Q&amp;A with correct answers and explanations</t>
        </is>
      </c>
      <c r="D21" s="11" t="inlineStr">
        <is>
          <t>10 Q&amp;A</t>
        </is>
      </c>
    </row>
    <row r="22" ht="20" customHeight="1">
      <c r="A22" s="9" t="inlineStr">
        <is>
          <t>5</t>
        </is>
      </c>
      <c r="B22" s="10" t="inlineStr">
        <is>
          <t>📖 Glossary Terms</t>
        </is>
      </c>
      <c r="C22" s="10" t="inlineStr">
        <is>
          <t>All 29 glossary terms with categories and definitions</t>
        </is>
      </c>
      <c r="D22" s="9" t="inlineStr">
        <is>
          <t>29 terms</t>
        </is>
      </c>
    </row>
    <row r="23" ht="20" customHeight="1">
      <c r="A23" s="11" t="inlineStr">
        <is>
          <t>6</t>
        </is>
      </c>
      <c r="B23" s="12" t="inlineStr">
        <is>
          <t>📈 Voter Turnout Data</t>
        </is>
      </c>
      <c r="C23" s="12" t="inlineStr">
        <is>
          <t>Historical voter turnout 2000–2024 for major democracies</t>
        </is>
      </c>
      <c r="D23" s="11" t="inlineStr">
        <is>
          <t>25 years × 8 countries</t>
        </is>
      </c>
    </row>
    <row r="24" ht="20" customHeight="1">
      <c r="A24" s="9" t="inlineStr">
        <is>
          <t>7</t>
        </is>
      </c>
      <c r="B24" s="10" t="inlineStr">
        <is>
          <t>🌍 Country Profiles</t>
        </is>
      </c>
      <c r="C24" s="10" t="inlineStr">
        <is>
          <t>Detailed electoral system profiles for 6 countries</t>
        </is>
      </c>
      <c r="D24" s="9" t="inlineStr">
        <is>
          <t>6 country profiles</t>
        </is>
      </c>
    </row>
  </sheetData>
  <mergeCells count="12">
    <mergeCell ref="B8:H8"/>
    <mergeCell ref="B14:H14"/>
    <mergeCell ref="B9:H9"/>
    <mergeCell ref="B13:H13"/>
    <mergeCell ref="A2:H2"/>
    <mergeCell ref="B12:H12"/>
    <mergeCell ref="B6:H6"/>
    <mergeCell ref="B7:H7"/>
    <mergeCell ref="A1:H1"/>
    <mergeCell ref="B10:H10"/>
    <mergeCell ref="B11:H11"/>
    <mergeCell ref="B5:H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
  <sheetViews>
    <sheetView showGridLines="0" workbookViewId="0">
      <selection activeCell="A1" sqref="A1"/>
    </sheetView>
  </sheetViews>
  <sheetFormatPr baseColWidth="8" defaultRowHeight="15"/>
  <cols>
    <col width="26" customWidth="1" min="1" max="1"/>
    <col width="22" customWidth="1" min="2" max="2"/>
    <col width="22" customWidth="1" min="3" max="3"/>
    <col width="22" customWidth="1" min="4" max="4"/>
    <col width="20" customWidth="1" min="5" max="5"/>
    <col width="4" customWidth="1" min="6" max="6"/>
    <col width="4" customWidth="1" min="7" max="7"/>
  </cols>
  <sheetData>
    <row r="1" ht="36" customHeight="1">
      <c r="A1" s="13" t="inlineStr">
        <is>
          <t>Electoral Systems Comparison</t>
        </is>
      </c>
    </row>
    <row r="2" ht="20" customHeight="1">
      <c r="A2" s="14" t="inlineStr">
        <is>
          <t>Side-by-side analysis of USA, India, and Germany electoral metrics</t>
        </is>
      </c>
    </row>
    <row r="3" ht="10" customHeight="1"/>
    <row r="4" ht="28" customHeight="1">
      <c r="A4" s="15" t="inlineStr">
        <is>
          <t>#</t>
        </is>
      </c>
      <c r="B4" s="15" t="inlineStr">
        <is>
          <t>Metric</t>
        </is>
      </c>
      <c r="C4" s="15" t="inlineStr">
        <is>
          <t>Category</t>
        </is>
      </c>
      <c r="D4" s="15" t="inlineStr">
        <is>
          <t>🇺🇸 USA</t>
        </is>
      </c>
      <c r="E4" s="15" t="inlineStr">
        <is>
          <t>🇮🇳 India</t>
        </is>
      </c>
      <c r="F4" s="15" t="inlineStr">
        <is>
          <t>🇩🇪 Germany</t>
        </is>
      </c>
      <c r="G4" s="15" t="inlineStr">
        <is>
          <t>Notes</t>
        </is>
      </c>
    </row>
    <row r="5" ht="24" customHeight="1">
      <c r="A5" s="16" t="n">
        <v>1</v>
      </c>
      <c r="B5" s="17" t="inlineStr">
        <is>
          <t>Electoral System</t>
        </is>
      </c>
      <c r="C5" s="18" t="inlineStr">
        <is>
          <t>System</t>
        </is>
      </c>
      <c r="D5" s="19" t="inlineStr">
        <is>
          <t>First-Past-The-Post</t>
        </is>
      </c>
      <c r="E5" s="19" t="inlineStr">
        <is>
          <t>First-Past-The-Post</t>
        </is>
      </c>
      <c r="F5" s="19" t="inlineStr">
        <is>
          <t>Mixed-Member Proportional</t>
        </is>
      </c>
      <c r="G5" s="19" t="inlineStr">
        <is>
          <t>FPTP = winner takes constituency</t>
        </is>
      </c>
    </row>
    <row r="6" ht="24" customHeight="1">
      <c r="A6" s="20" t="n">
        <v>2</v>
      </c>
      <c r="B6" s="21" t="inlineStr">
        <is>
          <t>Parliament Name</t>
        </is>
      </c>
      <c r="C6" s="22" t="inlineStr">
        <is>
          <t>Structure</t>
        </is>
      </c>
      <c r="D6" s="23" t="inlineStr">
        <is>
          <t>Congress (House + Senate)</t>
        </is>
      </c>
      <c r="E6" s="23" t="inlineStr">
        <is>
          <t>Lok Sabha + Rajya Sabha</t>
        </is>
      </c>
      <c r="F6" s="23" t="inlineStr">
        <is>
          <t>Bundestag + Bundesrat</t>
        </is>
      </c>
      <c r="G6" s="23" t="inlineStr">
        <is>
          <t>Bicameral in all three</t>
        </is>
      </c>
    </row>
    <row r="7" ht="24" customHeight="1">
      <c r="A7" s="16" t="n">
        <v>3</v>
      </c>
      <c r="B7" s="17" t="inlineStr">
        <is>
          <t>Parliament Size</t>
        </is>
      </c>
      <c r="C7" s="22" t="inlineStr">
        <is>
          <t>Structure</t>
        </is>
      </c>
      <c r="D7" s="23" t="inlineStr">
        <is>
          <t>535 seats (Congress)</t>
        </is>
      </c>
      <c r="E7" s="23" t="inlineStr">
        <is>
          <t>543 Lok Sabha seats</t>
        </is>
      </c>
      <c r="F7" s="23" t="inlineStr">
        <is>
          <t>~736 seats (varies)</t>
        </is>
      </c>
      <c r="G7" s="23" t="inlineStr">
        <is>
          <t>Bundestag size fluctuates with overhangs</t>
        </is>
      </c>
    </row>
    <row r="8" ht="24" customHeight="1">
      <c r="A8" s="20" t="n">
        <v>4</v>
      </c>
      <c r="B8" s="21" t="inlineStr">
        <is>
          <t>Presidential/PM Term</t>
        </is>
      </c>
      <c r="C8" s="22" t="inlineStr">
        <is>
          <t>Structure</t>
        </is>
      </c>
      <c r="D8" s="23" t="inlineStr">
        <is>
          <t>4 years (President)</t>
        </is>
      </c>
      <c r="E8" s="23" t="inlineStr">
        <is>
          <t>5 years (Prime Minister)</t>
        </is>
      </c>
      <c r="F8" s="23" t="inlineStr">
        <is>
          <t>4 years (Chancellor)</t>
        </is>
      </c>
      <c r="G8" s="23" t="inlineStr"/>
    </row>
    <row r="9" ht="24" customHeight="1">
      <c r="A9" s="16" t="n">
        <v>5</v>
      </c>
      <c r="B9" s="17" t="inlineStr">
        <is>
          <t>House/Lower Term</t>
        </is>
      </c>
      <c r="C9" s="22" t="inlineStr">
        <is>
          <t>Structure</t>
        </is>
      </c>
      <c r="D9" s="23" t="inlineStr">
        <is>
          <t>2 years (House)</t>
        </is>
      </c>
      <c r="E9" s="23" t="inlineStr">
        <is>
          <t>5 years (Lok Sabha)</t>
        </is>
      </c>
      <c r="F9" s="23" t="inlineStr">
        <is>
          <t>4 years (Bundestag)</t>
        </is>
      </c>
      <c r="G9" s="23" t="inlineStr">
        <is>
          <t>US Senate = 6 years</t>
        </is>
      </c>
    </row>
    <row r="10" ht="24" customHeight="1">
      <c r="A10" s="20" t="n">
        <v>6</v>
      </c>
      <c r="B10" s="21" t="inlineStr">
        <is>
          <t>Voting Age</t>
        </is>
      </c>
      <c r="C10" s="24" t="inlineStr">
        <is>
          <t>Voter</t>
        </is>
      </c>
      <c r="D10" s="25" t="inlineStr">
        <is>
          <t>18+</t>
        </is>
      </c>
      <c r="E10" s="25" t="inlineStr">
        <is>
          <t>18+</t>
        </is>
      </c>
      <c r="F10" s="25" t="inlineStr">
        <is>
          <t>18+ (16 in some states)</t>
        </is>
      </c>
      <c r="G10" s="25" t="inlineStr">
        <is>
          <t>Germany: some states allow 16 for state elections</t>
        </is>
      </c>
    </row>
    <row r="11" ht="24" customHeight="1">
      <c r="A11" s="16" t="n">
        <v>7</v>
      </c>
      <c r="B11" s="17" t="inlineStr">
        <is>
          <t>Compulsory Voting</t>
        </is>
      </c>
      <c r="C11" s="24" t="inlineStr">
        <is>
          <t>Voter</t>
        </is>
      </c>
      <c r="D11" s="25" t="inlineStr">
        <is>
          <t>No</t>
        </is>
      </c>
      <c r="E11" s="25" t="inlineStr">
        <is>
          <t>No</t>
        </is>
      </c>
      <c r="F11" s="25" t="inlineStr">
        <is>
          <t>No</t>
        </is>
      </c>
      <c r="G11" s="25" t="inlineStr">
        <is>
          <t>Australia, Brazil use compulsory voting</t>
        </is>
      </c>
    </row>
    <row r="12" ht="24" customHeight="1">
      <c r="A12" s="20" t="n">
        <v>8</v>
      </c>
      <c r="B12" s="21" t="inlineStr">
        <is>
          <t>Voter Turnout (Latest)</t>
        </is>
      </c>
      <c r="C12" s="26" t="inlineStr">
        <is>
          <t>Data</t>
        </is>
      </c>
      <c r="D12" s="27" t="inlineStr">
        <is>
          <t>66%</t>
        </is>
      </c>
      <c r="E12" s="27" t="inlineStr">
        <is>
          <t>67%</t>
        </is>
      </c>
      <c r="F12" s="27" t="inlineStr">
        <is>
          <t>76%</t>
        </is>
      </c>
      <c r="G12" s="27" t="inlineStr">
        <is>
          <t>Germany has highest turnout of three</t>
        </is>
      </c>
    </row>
    <row r="13" ht="24" customHeight="1">
      <c r="A13" s="16" t="n">
        <v>9</v>
      </c>
      <c r="B13" s="17" t="inlineStr">
        <is>
          <t>Transparency Score</t>
        </is>
      </c>
      <c r="C13" s="26" t="inlineStr">
        <is>
          <t>Data</t>
        </is>
      </c>
      <c r="D13" s="27" t="inlineStr">
        <is>
          <t>85/100</t>
        </is>
      </c>
      <c r="E13" s="27" t="inlineStr">
        <is>
          <t>82/100</t>
        </is>
      </c>
      <c r="F13" s="27" t="inlineStr">
        <is>
          <t>92/100</t>
        </is>
      </c>
      <c r="G13" s="27" t="inlineStr">
        <is>
          <t>Based on electoral integrity index</t>
        </is>
      </c>
    </row>
    <row r="14" ht="24" customHeight="1">
      <c r="A14" s="20" t="n">
        <v>10</v>
      </c>
      <c r="B14" s="21" t="inlineStr">
        <is>
          <t>Access Score</t>
        </is>
      </c>
      <c r="C14" s="26" t="inlineStr">
        <is>
          <t>Data</t>
        </is>
      </c>
      <c r="D14" s="27" t="inlineStr">
        <is>
          <t>78/100</t>
        </is>
      </c>
      <c r="E14" s="27" t="inlineStr">
        <is>
          <t>70/100</t>
        </is>
      </c>
      <c r="F14" s="27" t="inlineStr">
        <is>
          <t>88/100</t>
        </is>
      </c>
      <c r="G14" s="27" t="inlineStr">
        <is>
          <t>Ease of registration and voting</t>
        </is>
      </c>
    </row>
    <row r="15" ht="24" customHeight="1">
      <c r="A15" s="16" t="n">
        <v>11</v>
      </c>
      <c r="B15" s="17" t="inlineStr">
        <is>
          <t>Proportionality Index</t>
        </is>
      </c>
      <c r="C15" s="26" t="inlineStr">
        <is>
          <t>Data</t>
        </is>
      </c>
      <c r="D15" s="27" t="inlineStr">
        <is>
          <t>45%</t>
        </is>
      </c>
      <c r="E15" s="27" t="inlineStr">
        <is>
          <t>42%</t>
        </is>
      </c>
      <c r="F15" s="27" t="inlineStr">
        <is>
          <t>89%</t>
        </is>
      </c>
      <c r="G15" s="27" t="inlineStr">
        <is>
          <t>How well seat share matches vote share</t>
        </is>
      </c>
    </row>
    <row r="16" ht="24" customHeight="1">
      <c r="A16" s="20" t="n">
        <v>12</v>
      </c>
      <c r="B16" s="21" t="inlineStr">
        <is>
          <t>Election Day</t>
        </is>
      </c>
      <c r="C16" s="28" t="inlineStr">
        <is>
          <t>Process</t>
        </is>
      </c>
      <c r="D16" s="29" t="inlineStr">
        <is>
          <t>First Tue after Nov 1st</t>
        </is>
      </c>
      <c r="E16" s="29" t="inlineStr">
        <is>
          <t>Varies (multi-phase)</t>
        </is>
      </c>
      <c r="F16" s="29" t="inlineStr">
        <is>
          <t>Last Sunday of Sept/Oct</t>
        </is>
      </c>
      <c r="G16" s="29" t="inlineStr">
        <is>
          <t>Germany on Sundays to maximize access</t>
        </is>
      </c>
    </row>
    <row r="17" ht="24" customHeight="1">
      <c r="A17" s="16" t="n">
        <v>13</v>
      </c>
      <c r="B17" s="17" t="inlineStr">
        <is>
          <t>Voting Method</t>
        </is>
      </c>
      <c r="C17" s="28" t="inlineStr">
        <is>
          <t>Process</t>
        </is>
      </c>
      <c r="D17" s="29" t="inlineStr">
        <is>
          <t>Paper ballot / optical scan</t>
        </is>
      </c>
      <c r="E17" s="29" t="inlineStr">
        <is>
          <t>Electronic (EVMs + VVPAT)</t>
        </is>
      </c>
      <c r="F17" s="29" t="inlineStr">
        <is>
          <t>Paper ballot</t>
        </is>
      </c>
      <c r="G17" s="29" t="inlineStr">
        <is>
          <t>India unique in using EVMs nationally</t>
        </is>
      </c>
    </row>
    <row r="18" ht="24" customHeight="1">
      <c r="A18" s="20" t="n">
        <v>14</v>
      </c>
      <c r="B18" s="21" t="inlineStr">
        <is>
          <t>Party Threshold</t>
        </is>
      </c>
      <c r="C18" s="18" t="inlineStr">
        <is>
          <t>System</t>
        </is>
      </c>
      <c r="D18" s="19" t="inlineStr">
        <is>
          <t>None (FPTP, district level)</t>
        </is>
      </c>
      <c r="E18" s="19" t="inlineStr">
        <is>
          <t>None (deposit system)</t>
        </is>
      </c>
      <c r="F18" s="19" t="inlineStr">
        <is>
          <t>5% national or 3 directs</t>
        </is>
      </c>
      <c r="G18" s="19" t="inlineStr">
        <is>
          <t>Germany threshold prevents fragmentation</t>
        </is>
      </c>
    </row>
    <row r="19" ht="24" customHeight="1">
      <c r="A19" s="16" t="n">
        <v>15</v>
      </c>
      <c r="B19" s="17" t="inlineStr">
        <is>
          <t>Postal/Absentee</t>
        </is>
      </c>
      <c r="C19" s="24" t="inlineStr">
        <is>
          <t>Voter</t>
        </is>
      </c>
      <c r="D19" s="25" t="inlineStr">
        <is>
          <t>Yes (state-dependent rules)</t>
        </is>
      </c>
      <c r="E19" s="25" t="inlineStr">
        <is>
          <t>Limited (service voters)</t>
        </is>
      </c>
      <c r="F19" s="25" t="inlineStr">
        <is>
          <t>Yes (~40% use Briefwahl)</t>
        </is>
      </c>
      <c r="G19" s="25" t="inlineStr">
        <is>
          <t>Germany has very high postal vote rate</t>
        </is>
      </c>
    </row>
    <row r="20" ht="24" customHeight="1">
      <c r="A20" s="20" t="n">
        <v>16</v>
      </c>
      <c r="B20" s="21" t="inlineStr">
        <is>
          <t>Independent Candidates</t>
        </is>
      </c>
      <c r="C20" s="28" t="inlineStr">
        <is>
          <t>Process</t>
        </is>
      </c>
      <c r="D20" s="29" t="inlineStr">
        <is>
          <t>Yes, common</t>
        </is>
      </c>
      <c r="E20" s="29" t="inlineStr">
        <is>
          <t>Yes, common</t>
        </is>
      </c>
      <c r="F20" s="29" t="inlineStr">
        <is>
          <t>Yes (constituency only)</t>
        </is>
      </c>
      <c r="G20" s="29" t="inlineStr"/>
    </row>
    <row r="21" ht="24" customHeight="1">
      <c r="A21" s="16" t="n">
        <v>17</v>
      </c>
      <c r="B21" s="17" t="inlineStr">
        <is>
          <t>Election Commission</t>
        </is>
      </c>
      <c r="C21" s="22" t="inlineStr">
        <is>
          <t>Structure</t>
        </is>
      </c>
      <c r="D21" s="23" t="inlineStr">
        <is>
          <t>FEC (Federal Election Comm.)</t>
        </is>
      </c>
      <c r="E21" s="23" t="inlineStr">
        <is>
          <t>ECI (Election Commission)</t>
        </is>
      </c>
      <c r="F21" s="23" t="inlineStr">
        <is>
          <t>Federal Returning Officer</t>
        </is>
      </c>
      <c r="G21" s="23" t="inlineStr">
        <is>
          <t>ECI considered most powerful/independent</t>
        </is>
      </c>
    </row>
    <row r="22" ht="24" customHeight="1">
      <c r="A22" s="20" t="n">
        <v>18</v>
      </c>
      <c r="B22" s="21" t="inlineStr">
        <is>
          <t>Campaign Finance</t>
        </is>
      </c>
      <c r="C22" s="28" t="inlineStr">
        <is>
          <t>Process</t>
        </is>
      </c>
      <c r="D22" s="29" t="inlineStr">
        <is>
          <t>FEC regulated, PACs allowed</t>
        </is>
      </c>
      <c r="E22" s="29" t="inlineStr">
        <is>
          <t>Strict limits (~₹95L/seat)</t>
        </is>
      </c>
      <c r="F22" s="29" t="inlineStr">
        <is>
          <t>Federal limits apply</t>
        </is>
      </c>
      <c r="G22" s="29" t="inlineStr">
        <is>
          <t>US campaign finance most complex</t>
        </is>
      </c>
    </row>
    <row r="24" ht="12" customHeight="1"/>
    <row r="25" ht="22" customHeight="1">
      <c r="A25" s="30" t="inlineStr">
        <is>
          <t>NUMERIC METRICS FOR CHART</t>
        </is>
      </c>
    </row>
    <row r="26" ht="28" customHeight="1">
      <c r="A26" s="31" t="inlineStr">
        <is>
          <t>Metric</t>
        </is>
      </c>
      <c r="B26" s="31" t="inlineStr">
        <is>
          <t>USA</t>
        </is>
      </c>
      <c r="C26" s="31" t="inlineStr">
        <is>
          <t>India</t>
        </is>
      </c>
      <c r="D26" s="31" t="inlineStr">
        <is>
          <t>Germany</t>
        </is>
      </c>
      <c r="E26" s="31" t="inlineStr">
        <is>
          <t>Max (Best)</t>
        </is>
      </c>
    </row>
    <row r="27" ht="20" customHeight="1">
      <c r="A27" s="3" t="inlineStr">
        <is>
          <t>Voter Turnout (%)</t>
        </is>
      </c>
      <c r="B27" s="11" t="n">
        <v>66</v>
      </c>
      <c r="C27" s="11" t="n">
        <v>67</v>
      </c>
      <c r="D27" s="11" t="n">
        <v>76</v>
      </c>
      <c r="E27" s="11">
        <f>MAX(B27:D27)</f>
        <v/>
      </c>
    </row>
    <row r="28" ht="20" customHeight="1">
      <c r="A28" s="3" t="inlineStr">
        <is>
          <t>Transparency Score</t>
        </is>
      </c>
      <c r="B28" s="32" t="n">
        <v>85</v>
      </c>
      <c r="C28" s="32" t="n">
        <v>82</v>
      </c>
      <c r="D28" s="32" t="n">
        <v>92</v>
      </c>
      <c r="E28" s="32">
        <f>MAX(B28:D28)</f>
        <v/>
      </c>
    </row>
    <row r="29" ht="20" customHeight="1">
      <c r="A29" s="3" t="inlineStr">
        <is>
          <t>Access Score</t>
        </is>
      </c>
      <c r="B29" s="11" t="n">
        <v>78</v>
      </c>
      <c r="C29" s="11" t="n">
        <v>70</v>
      </c>
      <c r="D29" s="11" t="n">
        <v>88</v>
      </c>
      <c r="E29" s="11">
        <f>MAX(B29:D29)</f>
        <v/>
      </c>
    </row>
    <row r="30" ht="20" customHeight="1">
      <c r="A30" s="3" t="inlineStr">
        <is>
          <t>Proportionality (%)</t>
        </is>
      </c>
      <c r="B30" s="32" t="n">
        <v>45</v>
      </c>
      <c r="C30" s="32" t="n">
        <v>42</v>
      </c>
      <c r="D30" s="32" t="n">
        <v>89</v>
      </c>
      <c r="E30" s="32">
        <f>MAX(B30:D30)</f>
        <v/>
      </c>
    </row>
    <row r="31" ht="20" customHeight="1">
      <c r="A31" s="3" t="inlineStr">
        <is>
          <t>Postal Vote Usage (%)</t>
        </is>
      </c>
      <c r="B31" s="11" t="n">
        <v>25</v>
      </c>
      <c r="C31" s="11" t="n">
        <v>2</v>
      </c>
      <c r="D31" s="11" t="n">
        <v>40</v>
      </c>
      <c r="E31" s="11">
        <f>MAX(B31:D31)</f>
        <v/>
      </c>
    </row>
    <row r="32" ht="20" customHeight="1">
      <c r="A32" s="3" t="inlineStr">
        <is>
          <t>Women MPs (%)</t>
        </is>
      </c>
      <c r="B32" s="32" t="n">
        <v>28</v>
      </c>
      <c r="C32" s="32" t="n">
        <v>15</v>
      </c>
      <c r="D32" s="32" t="n">
        <v>35</v>
      </c>
      <c r="E32" s="32">
        <f>MAX(B32:D32)</f>
        <v/>
      </c>
    </row>
  </sheetData>
  <mergeCells count="2">
    <mergeCell ref="A2:G2"/>
    <mergeCell ref="A1:G1"/>
  </mergeCells>
  <conditionalFormatting sqref="B27:D32">
    <cfRule type="colorScale" priority="1">
      <colorScale>
        <cfvo type="min"/>
        <cfvo type="percentile" val="50"/>
        <cfvo type="max"/>
        <color rgb="00FFCDD2"/>
        <color rgb="00FFF9C4"/>
        <color rgb="00C8E6C9"/>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32"/>
  <sheetViews>
    <sheetView showGridLines="0" workbookViewId="0">
      <selection activeCell="A1" sqref="A1"/>
    </sheetView>
  </sheetViews>
  <sheetFormatPr baseColWidth="8" defaultRowHeight="15"/>
  <cols>
    <col width="14" customWidth="1" min="1" max="1"/>
    <col width="6" customWidth="1" min="2" max="2"/>
    <col width="14" customWidth="1" min="3" max="3"/>
    <col width="26" customWidth="1" min="4" max="4"/>
    <col width="28" customWidth="1" min="5" max="5"/>
    <col width="12" customWidth="1" min="6" max="6"/>
    <col width="52" customWidth="1" min="7" max="7"/>
    <col width="34" customWidth="1" min="8" max="8"/>
  </cols>
  <sheetData>
    <row r="1" ht="36" customHeight="1">
      <c r="A1" s="13" t="inlineStr">
        <is>
          <t>Election Process Timelines</t>
        </is>
      </c>
    </row>
    <row r="2" ht="20" customHeight="1">
      <c r="A2" s="14" t="inlineStr">
        <is>
          <t>Step-by-step electoral process for USA, India, UK, and Germany</t>
        </is>
      </c>
    </row>
    <row r="4" ht="28" customHeight="1">
      <c r="A4" s="33" t="inlineStr">
        <is>
          <t>Country</t>
        </is>
      </c>
      <c r="B4" s="33" t="inlineStr">
        <is>
          <t>Step #</t>
        </is>
      </c>
      <c r="C4" s="33" t="inlineStr">
        <is>
          <t>Phase</t>
        </is>
      </c>
      <c r="D4" s="33" t="inlineStr">
        <is>
          <t>Stage Name</t>
        </is>
      </c>
      <c r="E4" s="33" t="inlineStr">
        <is>
          <t>Timeframe</t>
        </is>
      </c>
      <c r="F4" s="33" t="inlineStr">
        <is>
          <t>Status</t>
        </is>
      </c>
      <c r="G4" s="33" t="inlineStr">
        <is>
          <t>Key Details</t>
        </is>
      </c>
      <c r="H4" s="33" t="inlineStr">
        <is>
          <t>Related Laws/Bodies</t>
        </is>
      </c>
    </row>
    <row r="5" ht="40" customHeight="1">
      <c r="A5" s="34" t="inlineStr">
        <is>
          <t>🇺🇸 USA</t>
        </is>
      </c>
      <c r="B5" s="35" t="n">
        <v>1</v>
      </c>
      <c r="C5" s="36" t="inlineStr">
        <is>
          <t>Announcement</t>
        </is>
      </c>
      <c r="D5" s="37" t="inlineStr">
        <is>
          <t>Voter Registration Opens</t>
        </is>
      </c>
      <c r="E5" s="38" t="inlineStr">
        <is>
          <t>~18 months before election</t>
        </is>
      </c>
      <c r="F5" s="39" t="inlineStr">
        <is>
          <t>Ongoing</t>
        </is>
      </c>
      <c r="G5" s="17" t="inlineStr">
        <is>
          <t>Citizens register via state/local boards. Deadlines vary by state (2–30 days before election). 17 states allow same-day registration.</t>
        </is>
      </c>
      <c r="H5" s="40" t="inlineStr">
        <is>
          <t>National Voter Registration Act 1993</t>
        </is>
      </c>
    </row>
    <row r="6" ht="40" customHeight="1">
      <c r="A6" s="34" t="inlineStr">
        <is>
          <t>🇺🇸 USA</t>
        </is>
      </c>
      <c r="B6" s="35" t="n">
        <v>2</v>
      </c>
      <c r="C6" s="41" t="inlineStr">
        <is>
          <t>Filing</t>
        </is>
      </c>
      <c r="D6" s="37" t="inlineStr">
        <is>
          <t>Primary Elections Begin</t>
        </is>
      </c>
      <c r="E6" s="38" t="inlineStr">
        <is>
          <t>Jan–June (election year)</t>
        </is>
      </c>
      <c r="F6" s="42" t="inlineStr">
        <is>
          <t>Upcoming</t>
        </is>
      </c>
      <c r="G6" s="17" t="inlineStr">
        <is>
          <t>Party members vote for their preferred presidential candidate. Delegates awarded by state. Includes caucuses (Iowa) and primaries.</t>
        </is>
      </c>
      <c r="H6" s="40" t="inlineStr">
        <is>
          <t>State election laws vary</t>
        </is>
      </c>
    </row>
    <row r="7" ht="40" customHeight="1">
      <c r="A7" s="34" t="inlineStr">
        <is>
          <t>🇺🇸 USA</t>
        </is>
      </c>
      <c r="B7" s="35" t="n">
        <v>3</v>
      </c>
      <c r="C7" s="41" t="inlineStr">
        <is>
          <t>Filing</t>
        </is>
      </c>
      <c r="D7" s="37" t="inlineStr">
        <is>
          <t>National Party Conventions</t>
        </is>
      </c>
      <c r="E7" s="38" t="inlineStr">
        <is>
          <t>July–August (election year)</t>
        </is>
      </c>
      <c r="F7" s="42" t="inlineStr">
        <is>
          <t>Upcoming</t>
        </is>
      </c>
      <c r="G7" s="17" t="inlineStr">
        <is>
          <t>Delegates formally nominate presidential and VP candidates. Party platforms adopted. Nominees deliver acceptance speeches.</t>
        </is>
      </c>
      <c r="H7" s="40" t="inlineStr">
        <is>
          <t>Party rules, FEC regulations</t>
        </is>
      </c>
    </row>
    <row r="8" ht="40" customHeight="1">
      <c r="A8" s="34" t="inlineStr">
        <is>
          <t>🇺🇸 USA</t>
        </is>
      </c>
      <c r="B8" s="35" t="n">
        <v>4</v>
      </c>
      <c r="C8" s="43" t="inlineStr">
        <is>
          <t>Campaign</t>
        </is>
      </c>
      <c r="D8" s="37" t="inlineStr">
        <is>
          <t>General Election Campaign</t>
        </is>
      </c>
      <c r="E8" s="38" t="inlineStr">
        <is>
          <t>Post-convention to Election Day</t>
        </is>
      </c>
      <c r="F8" s="42" t="inlineStr">
        <is>
          <t>Upcoming</t>
        </is>
      </c>
      <c r="G8" s="17" t="inlineStr">
        <is>
          <t>Nationwide campaigning, 3 presidential debates, VP debate. Campaign spending regulated by FEC. Focus on swing states.</t>
        </is>
      </c>
      <c r="H8" s="40" t="inlineStr">
        <is>
          <t>Federal Election Campaign Act, FEC</t>
        </is>
      </c>
    </row>
    <row r="9" ht="40" customHeight="1">
      <c r="A9" s="34" t="inlineStr">
        <is>
          <t>🇺🇸 USA</t>
        </is>
      </c>
      <c r="B9" s="35" t="n">
        <v>5</v>
      </c>
      <c r="C9" s="44" t="inlineStr">
        <is>
          <t>Voting</t>
        </is>
      </c>
      <c r="D9" s="37" t="inlineStr">
        <is>
          <t>Election Day</t>
        </is>
      </c>
      <c r="E9" s="38" t="inlineStr">
        <is>
          <t>First Tuesday after Nov 1</t>
        </is>
      </c>
      <c r="F9" s="42" t="inlineStr">
        <is>
          <t>Upcoming</t>
        </is>
      </c>
      <c r="G9" s="17" t="inlineStr">
        <is>
          <t>Polls open 12–13 hours. Voters cast ballots at assigned polling places or by mail. 30 states + DC offer early voting.</t>
        </is>
      </c>
      <c r="H9" s="40" t="inlineStr">
        <is>
          <t>Help America Vote Act 2002</t>
        </is>
      </c>
    </row>
    <row r="10" ht="40" customHeight="1">
      <c r="A10" s="34" t="inlineStr">
        <is>
          <t>🇺🇸 USA</t>
        </is>
      </c>
      <c r="B10" s="35" t="n">
        <v>6</v>
      </c>
      <c r="C10" s="45" t="inlineStr">
        <is>
          <t>Results</t>
        </is>
      </c>
      <c r="D10" s="37" t="inlineStr">
        <is>
          <t>Electoral College Vote</t>
        </is>
      </c>
      <c r="E10" s="38" t="inlineStr">
        <is>
          <t>December (after election)</t>
        </is>
      </c>
      <c r="F10" s="42" t="inlineStr">
        <is>
          <t>Upcoming</t>
        </is>
      </c>
      <c r="G10" s="17" t="inlineStr">
        <is>
          <t>State electors cast their Electoral College votes. 270 of 538 needed to win. Congress certifies results in January.</t>
        </is>
      </c>
      <c r="H10" s="40" t="inlineStr">
        <is>
          <t>12th Amendment, Electoral Count Act</t>
        </is>
      </c>
    </row>
    <row r="11" ht="40" customHeight="1">
      <c r="A11" s="34" t="inlineStr">
        <is>
          <t>🇺🇸 USA</t>
        </is>
      </c>
      <c r="B11" s="35" t="n">
        <v>7</v>
      </c>
      <c r="C11" s="45" t="inlineStr">
        <is>
          <t>Results</t>
        </is>
      </c>
      <c r="D11" s="37" t="inlineStr">
        <is>
          <t>Presidential Inauguration</t>
        </is>
      </c>
      <c r="E11" s="38" t="inlineStr">
        <is>
          <t>January 20th</t>
        </is>
      </c>
      <c r="F11" s="42" t="inlineStr">
        <is>
          <t>Upcoming</t>
        </is>
      </c>
      <c r="G11" s="17" t="inlineStr">
        <is>
          <t>Winner sworn in by Chief Justice of the Supreme Court. Formal transfer of power completed.</t>
        </is>
      </c>
      <c r="H11" s="40" t="inlineStr">
        <is>
          <t>20th Amendment</t>
        </is>
      </c>
    </row>
    <row r="12" ht="40" customHeight="1">
      <c r="A12" s="34" t="inlineStr">
        <is>
          <t>🇮🇳 India</t>
        </is>
      </c>
      <c r="B12" s="35" t="n">
        <v>1</v>
      </c>
      <c r="C12" s="36" t="inlineStr">
        <is>
          <t>Announcement</t>
        </is>
      </c>
      <c r="D12" s="37" t="inlineStr">
        <is>
          <t>Model Code of Conduct Issued</t>
        </is>
      </c>
      <c r="E12" s="38" t="inlineStr">
        <is>
          <t>60–90 days before polling</t>
        </is>
      </c>
      <c r="F12" s="42" t="inlineStr">
        <is>
          <t>Upcoming</t>
        </is>
      </c>
      <c r="G12" s="17" t="inlineStr">
        <is>
          <t>Election Commission announces schedule and MCC. Government cannot announce new policies or use state resources for campaigning.</t>
        </is>
      </c>
      <c r="H12" s="40" t="inlineStr">
        <is>
          <t>Representation of People Act 1951</t>
        </is>
      </c>
    </row>
    <row r="13" ht="40" customHeight="1">
      <c r="A13" s="34" t="inlineStr">
        <is>
          <t>🇮🇳 India</t>
        </is>
      </c>
      <c r="B13" s="35" t="n">
        <v>2</v>
      </c>
      <c r="C13" s="41" t="inlineStr">
        <is>
          <t>Filing</t>
        </is>
      </c>
      <c r="D13" s="37" t="inlineStr">
        <is>
          <t>Electoral Roll Revision</t>
        </is>
      </c>
      <c r="E13" s="38" t="inlineStr">
        <is>
          <t>Months before polling</t>
        </is>
      </c>
      <c r="F13" s="39" t="inlineStr">
        <is>
          <t>Ongoing</t>
        </is>
      </c>
      <c r="G13" s="17" t="inlineStr">
        <is>
          <t>ECI completes final revision of electoral rolls. Citizens check registration via NVSP portal. EPIC voter ID cards issued.</t>
        </is>
      </c>
      <c r="H13" s="40" t="inlineStr">
        <is>
          <t>Registration of Electors Rules 1960</t>
        </is>
      </c>
    </row>
    <row r="14" ht="40" customHeight="1">
      <c r="A14" s="34" t="inlineStr">
        <is>
          <t>🇮🇳 India</t>
        </is>
      </c>
      <c r="B14" s="35" t="n">
        <v>3</v>
      </c>
      <c r="C14" s="41" t="inlineStr">
        <is>
          <t>Filing</t>
        </is>
      </c>
      <c r="D14" s="37" t="inlineStr">
        <is>
          <t>Candidate Nomination &amp; Scrutiny</t>
        </is>
      </c>
      <c r="E14" s="38" t="inlineStr">
        <is>
          <t>14–21 days before phase polling</t>
        </is>
      </c>
      <c r="F14" s="42" t="inlineStr">
        <is>
          <t>Upcoming</t>
        </is>
      </c>
      <c r="G14" s="17" t="inlineStr">
        <is>
          <t>Candidates file nomination at Returning Officer office with ₹25,000 deposit. Scrutiny of eligibility. Withdrawal deadline.</t>
        </is>
      </c>
      <c r="H14" s="40" t="inlineStr">
        <is>
          <t>RP Act Section 33–36</t>
        </is>
      </c>
    </row>
    <row r="15" ht="40" customHeight="1">
      <c r="A15" s="34" t="inlineStr">
        <is>
          <t>🇮🇳 India</t>
        </is>
      </c>
      <c r="B15" s="35" t="n">
        <v>4</v>
      </c>
      <c r="C15" s="43" t="inlineStr">
        <is>
          <t>Campaign</t>
        </is>
      </c>
      <c r="D15" s="37" t="inlineStr">
        <is>
          <t>Campaign Period</t>
        </is>
      </c>
      <c r="E15" s="38" t="inlineStr">
        <is>
          <t>Post-withdrawal to 48hr before poll</t>
        </is>
      </c>
      <c r="F15" s="42" t="inlineStr">
        <is>
          <t>Upcoming</t>
        </is>
      </c>
      <c r="G15" s="17" t="inlineStr">
        <is>
          <t>Parties campaign; spending capped at ₹95 lakh per Lok Sabha seat. 48-hour silence period before polling. Social media regulated.</t>
        </is>
      </c>
      <c r="H15" s="40" t="inlineStr">
        <is>
          <t>Model Code of Conduct</t>
        </is>
      </c>
    </row>
    <row r="16" ht="40" customHeight="1">
      <c r="A16" s="34" t="inlineStr">
        <is>
          <t>🇮🇳 India</t>
        </is>
      </c>
      <c r="B16" s="35" t="n">
        <v>5</v>
      </c>
      <c r="C16" s="44" t="inlineStr">
        <is>
          <t>Voting</t>
        </is>
      </c>
      <c r="D16" s="37" t="inlineStr">
        <is>
          <t>Multi-Phase Polling</t>
        </is>
      </c>
      <c r="E16" s="38" t="inlineStr">
        <is>
          <t>April–May (varies)</t>
        </is>
      </c>
      <c r="F16" s="42" t="inlineStr">
        <is>
          <t>Upcoming</t>
        </is>
      </c>
      <c r="G16" s="17" t="inlineStr">
        <is>
          <t>Multiple phases across states. EVMs + VVPAT used. Polling stations within 2km of every voter. ~960 million eligible voters.</t>
        </is>
      </c>
      <c r="H16" s="40" t="inlineStr">
        <is>
          <t>RP Act 1950, ECI Guidelines</t>
        </is>
      </c>
    </row>
    <row r="17" ht="40" customHeight="1">
      <c r="A17" s="34" t="inlineStr">
        <is>
          <t>🇮🇳 India</t>
        </is>
      </c>
      <c r="B17" s="35" t="n">
        <v>6</v>
      </c>
      <c r="C17" s="45" t="inlineStr">
        <is>
          <t>Results</t>
        </is>
      </c>
      <c r="D17" s="37" t="inlineStr">
        <is>
          <t>Vote Counting &amp; Results</t>
        </is>
      </c>
      <c r="E17" s="38" t="inlineStr">
        <is>
          <t>Counting Day (post all phases)</t>
        </is>
      </c>
      <c r="F17" s="42" t="inlineStr">
        <is>
          <t>Upcoming</t>
        </is>
      </c>
      <c r="G17" s="17" t="inlineStr">
        <is>
          <t>Counting at designated centers under security. ECI announces results. Party/coalition with 272+ seats invited to form government.</t>
        </is>
      </c>
      <c r="H17" s="40" t="inlineStr">
        <is>
          <t>RP Act Section 64–65</t>
        </is>
      </c>
    </row>
    <row r="18" ht="40" customHeight="1">
      <c r="A18" s="34" t="inlineStr">
        <is>
          <t>🇮🇳 India</t>
        </is>
      </c>
      <c r="B18" s="35" t="n">
        <v>7</v>
      </c>
      <c r="C18" s="45" t="inlineStr">
        <is>
          <t>Results</t>
        </is>
      </c>
      <c r="D18" s="37" t="inlineStr">
        <is>
          <t>Government Formation</t>
        </is>
      </c>
      <c r="E18" s="38" t="inlineStr">
        <is>
          <t>Within weeks of results</t>
        </is>
      </c>
      <c r="F18" s="42" t="inlineStr">
        <is>
          <t>Upcoming</t>
        </is>
      </c>
      <c r="G18" s="17" t="inlineStr">
        <is>
          <t>President invites majority leader to form government. PM and Cabinet sworn in at Rashtrapati Bhavan.</t>
        </is>
      </c>
      <c r="H18" s="40" t="inlineStr">
        <is>
          <t>Constitution Articles 74–75</t>
        </is>
      </c>
    </row>
    <row r="19" ht="40" customHeight="1">
      <c r="A19" s="34" t="inlineStr">
        <is>
          <t>🇬🇧 UK</t>
        </is>
      </c>
      <c r="B19" s="35" t="n">
        <v>1</v>
      </c>
      <c r="C19" s="36" t="inlineStr">
        <is>
          <t>Announcement</t>
        </is>
      </c>
      <c r="D19" s="37" t="inlineStr">
        <is>
          <t>Parliament Dissolved</t>
        </is>
      </c>
      <c r="E19" s="38" t="inlineStr">
        <is>
          <t>25 working days before election</t>
        </is>
      </c>
      <c r="F19" s="42" t="inlineStr">
        <is>
          <t>Upcoming</t>
        </is>
      </c>
      <c r="G19" s="17" t="inlineStr">
        <is>
          <t>King dissolves Parliament on PM's advice under Dissolution and Calling of Parliament Act 2022. Writs sent to 650 Returning Officers.</t>
        </is>
      </c>
      <c r="H19" s="40" t="inlineStr">
        <is>
          <t>Dissolution and Calling of Parliament Act 2022</t>
        </is>
      </c>
    </row>
    <row r="20" ht="40" customHeight="1">
      <c r="A20" s="34" t="inlineStr">
        <is>
          <t>🇬🇧 UK</t>
        </is>
      </c>
      <c r="B20" s="35" t="n">
        <v>2</v>
      </c>
      <c r="C20" s="41" t="inlineStr">
        <is>
          <t>Filing</t>
        </is>
      </c>
      <c r="D20" s="37" t="inlineStr">
        <is>
          <t>Voter Registration Deadline</t>
        </is>
      </c>
      <c r="E20" s="38" t="inlineStr">
        <is>
          <t>12 working days before election</t>
        </is>
      </c>
      <c r="F20" s="42" t="inlineStr">
        <is>
          <t>Upcoming</t>
        </is>
      </c>
      <c r="G20" s="17" t="inlineStr">
        <is>
          <t>Register at gov.uk or local ERO. British, Irish, qualifying Commonwealth citizens eligible. Online registration available.</t>
        </is>
      </c>
      <c r="H20" s="40" t="inlineStr">
        <is>
          <t>Representation of the People Act 1983</t>
        </is>
      </c>
    </row>
    <row r="21" ht="40" customHeight="1">
      <c r="A21" s="34" t="inlineStr">
        <is>
          <t>🇬🇧 UK</t>
        </is>
      </c>
      <c r="B21" s="35" t="n">
        <v>3</v>
      </c>
      <c r="C21" s="41" t="inlineStr">
        <is>
          <t>Filing</t>
        </is>
      </c>
      <c r="D21" s="37" t="inlineStr">
        <is>
          <t>Candidate Nominations Close</t>
        </is>
      </c>
      <c r="E21" s="38" t="inlineStr">
        <is>
          <t>19 working days before election</t>
        </is>
      </c>
      <c r="F21" s="42" t="inlineStr">
        <is>
          <t>Upcoming</t>
        </is>
      </c>
      <c r="G21" s="17" t="inlineStr">
        <is>
          <t>10 signatures from constituency voters + £500 deposit (refunded at 5%+ vote). Candidates can be independent or party.</t>
        </is>
      </c>
      <c r="H21" s="40" t="inlineStr">
        <is>
          <t>PPERA 2000, RPA 1983</t>
        </is>
      </c>
    </row>
    <row r="22" ht="40" customHeight="1">
      <c r="A22" s="34" t="inlineStr">
        <is>
          <t>🇬🇧 UK</t>
        </is>
      </c>
      <c r="B22" s="35" t="n">
        <v>4</v>
      </c>
      <c r="C22" s="43" t="inlineStr">
        <is>
          <t>Campaign</t>
        </is>
      </c>
      <c r="D22" s="37" t="inlineStr">
        <is>
          <t>Short Campaign Period</t>
        </is>
      </c>
      <c r="E22" s="38" t="inlineStr">
        <is>
          <t>25 working days</t>
        </is>
      </c>
      <c r="F22" s="42" t="inlineStr">
        <is>
          <t>Upcoming</t>
        </is>
      </c>
      <c r="G22" s="17" t="inlineStr">
        <is>
          <t>Strict spending limits (~£21K per candidate). Free party broadcasts on BBC/ITV. Leaders' debates by convention.</t>
        </is>
      </c>
      <c r="H22" s="40" t="inlineStr">
        <is>
          <t>Political Parties, Elections and Referendums Act 2000</t>
        </is>
      </c>
    </row>
    <row r="23" ht="40" customHeight="1">
      <c r="A23" s="34" t="inlineStr">
        <is>
          <t>🇬🇧 UK</t>
        </is>
      </c>
      <c r="B23" s="35" t="n">
        <v>5</v>
      </c>
      <c r="C23" s="44" t="inlineStr">
        <is>
          <t>Voting</t>
        </is>
      </c>
      <c r="D23" s="37" t="inlineStr">
        <is>
          <t>Polling Day</t>
        </is>
      </c>
      <c r="E23" s="38" t="inlineStr">
        <is>
          <t>Thursday (conventional)</t>
        </is>
      </c>
      <c r="F23" s="42" t="inlineStr">
        <is>
          <t>Upcoming</t>
        </is>
      </c>
      <c r="G23" s="17" t="inlineStr">
        <is>
          <t>Polls open 7am–10pm. Voters mark single X next to candidate (FPTP). Results declared constituency by constituency overnight.</t>
        </is>
      </c>
      <c r="H23" s="40" t="inlineStr">
        <is>
          <t>Representation of the People Act 1983</t>
        </is>
      </c>
    </row>
    <row r="24" ht="40" customHeight="1">
      <c r="A24" s="34" t="inlineStr">
        <is>
          <t>🇬🇧 UK</t>
        </is>
      </c>
      <c r="B24" s="35" t="n">
        <v>6</v>
      </c>
      <c r="C24" s="45" t="inlineStr">
        <is>
          <t>Results</t>
        </is>
      </c>
      <c r="D24" s="37" t="inlineStr">
        <is>
          <t>Results &amp; Party Majority</t>
        </is>
      </c>
      <c r="E24" s="38" t="inlineStr">
        <is>
          <t>Overnight after polls close</t>
        </is>
      </c>
      <c r="F24" s="42" t="inlineStr">
        <is>
          <t>Upcoming</t>
        </is>
      </c>
      <c r="G24" s="17" t="inlineStr">
        <is>
          <t>650 constituencies return results. Party needs 326 seats for majority. If hung parliament: coalition negotiations.</t>
        </is>
      </c>
      <c r="H24" s="40" t="inlineStr">
        <is>
          <t>Parliament Acts 1911 &amp; 1949</t>
        </is>
      </c>
    </row>
    <row r="25" ht="40" customHeight="1">
      <c r="A25" s="34" t="inlineStr">
        <is>
          <t>🇬🇧 UK</t>
        </is>
      </c>
      <c r="B25" s="35" t="n">
        <v>7</v>
      </c>
      <c r="C25" s="45" t="inlineStr">
        <is>
          <t>Results</t>
        </is>
      </c>
      <c r="D25" s="37" t="inlineStr">
        <is>
          <t>New Government Appointed</t>
        </is>
      </c>
      <c r="E25" s="38" t="inlineStr">
        <is>
          <t>Day after election</t>
        </is>
      </c>
      <c r="F25" s="42" t="inlineStr">
        <is>
          <t>Upcoming</t>
        </is>
      </c>
      <c r="G25" s="17" t="inlineStr">
        <is>
          <t>PM resigns; King invites party leader able to command majority to form government. Cabinet appointed within days.</t>
        </is>
      </c>
      <c r="H25" s="40" t="inlineStr">
        <is>
          <t>Constitutional convention</t>
        </is>
      </c>
    </row>
    <row r="26" ht="40" customHeight="1">
      <c r="A26" s="34" t="inlineStr">
        <is>
          <t>🇩🇪 Germany</t>
        </is>
      </c>
      <c r="B26" s="35" t="n">
        <v>1</v>
      </c>
      <c r="C26" s="36" t="inlineStr">
        <is>
          <t>Announcement</t>
        </is>
      </c>
      <c r="D26" s="37" t="inlineStr">
        <is>
          <t>Bundestag Dissolved / Date Set</t>
        </is>
      </c>
      <c r="E26" s="38" t="inlineStr">
        <is>
          <t>Up to 60 days before election</t>
        </is>
      </c>
      <c r="F26" s="42" t="inlineStr">
        <is>
          <t>Upcoming</t>
        </is>
      </c>
      <c r="G26" s="17" t="inlineStr">
        <is>
          <t>Federal President dissolves Bundestag or at end of 4-year term. Federal Returning Officer sets date within 60 days.</t>
        </is>
      </c>
      <c r="H26" s="40" t="inlineStr">
        <is>
          <t>Basic Law Article 68, Federal Election Law</t>
        </is>
      </c>
    </row>
    <row r="27" ht="40" customHeight="1">
      <c r="A27" s="34" t="inlineStr">
        <is>
          <t>🇩🇪 Germany</t>
        </is>
      </c>
      <c r="B27" s="35" t="n">
        <v>2</v>
      </c>
      <c r="C27" s="41" t="inlineStr">
        <is>
          <t>Filing</t>
        </is>
      </c>
      <c r="D27" s="37" t="inlineStr">
        <is>
          <t>Automatic Voter Registration</t>
        </is>
      </c>
      <c r="E27" s="38" t="inlineStr">
        <is>
          <t>Automatic — no action needed</t>
        </is>
      </c>
      <c r="F27" s="39" t="inlineStr">
        <is>
          <t>Ongoing</t>
        </is>
      </c>
      <c r="G27" s="17" t="inlineStr">
        <is>
          <t>Citizens automatically registered via Einwohnermeldeamt. Voter notification cards (Wahlbenachrichtigung) mailed 6 weeks before election.</t>
        </is>
      </c>
      <c r="H27" s="40" t="inlineStr">
        <is>
          <t>Federal Registration Act (BMG)</t>
        </is>
      </c>
    </row>
    <row r="28" ht="40" customHeight="1">
      <c r="A28" s="34" t="inlineStr">
        <is>
          <t>🇩🇪 Germany</t>
        </is>
      </c>
      <c r="B28" s="35" t="n">
        <v>3</v>
      </c>
      <c r="C28" s="41" t="inlineStr">
        <is>
          <t>Filing</t>
        </is>
      </c>
      <c r="D28" s="37" t="inlineStr">
        <is>
          <t>Party Lists &amp; Candidates Filed</t>
        </is>
      </c>
      <c r="E28" s="38" t="inlineStr">
        <is>
          <t>66 days before election deadline</t>
        </is>
      </c>
      <c r="F28" s="42" t="inlineStr">
        <is>
          <t>Upcoming</t>
        </is>
      </c>
      <c r="G28" s="17" t="inlineStr">
        <is>
          <t>Parties submit state lists (Landeslisten) and constituency candidates. Minor parties need 200 supporting signatures per entry.</t>
        </is>
      </c>
      <c r="H28" s="40" t="inlineStr">
        <is>
          <t>Federal Election Law §18–20</t>
        </is>
      </c>
    </row>
    <row r="29" ht="40" customHeight="1">
      <c r="A29" s="34" t="inlineStr">
        <is>
          <t>🇩🇪 Germany</t>
        </is>
      </c>
      <c r="B29" s="35" t="n">
        <v>4</v>
      </c>
      <c r="C29" s="43" t="inlineStr">
        <is>
          <t>Campaign</t>
        </is>
      </c>
      <c r="D29" s="37" t="inlineStr">
        <is>
          <t>Official Campaign Period</t>
        </is>
      </c>
      <c r="E29" s="38" t="inlineStr">
        <is>
          <t>~8 weeks before election</t>
        </is>
      </c>
      <c r="F29" s="42" t="inlineStr">
        <is>
          <t>Upcoming</t>
        </is>
      </c>
      <c r="G29" s="17" t="inlineStr">
        <is>
          <t>Parties campaign via posters, TV, social media. Public broadcasters provide equal airtime. Final TV debate (Triell/Duell).</t>
        </is>
      </c>
      <c r="H29" s="40" t="inlineStr">
        <is>
          <t>Interstate Broadcasting Agreement</t>
        </is>
      </c>
    </row>
    <row r="30" ht="40" customHeight="1">
      <c r="A30" s="34" t="inlineStr">
        <is>
          <t>🇩🇪 Germany</t>
        </is>
      </c>
      <c r="B30" s="35" t="n">
        <v>5</v>
      </c>
      <c r="C30" s="44" t="inlineStr">
        <is>
          <t>Voting</t>
        </is>
      </c>
      <c r="D30" s="37" t="inlineStr">
        <is>
          <t>Federal Election Day</t>
        </is>
      </c>
      <c r="E30" s="38" t="inlineStr">
        <is>
          <t>Sunday in September/October</t>
        </is>
      </c>
      <c r="F30" s="42" t="inlineStr">
        <is>
          <t>Upcoming</t>
        </is>
      </c>
      <c r="G30" s="17" t="inlineStr">
        <is>
          <t>Two votes: Erststimme (constituency FPTP) + Zweitstimme (party list). ~40% vote by Briefwahl (postal). Polls 8am–6pm.</t>
        </is>
      </c>
      <c r="H30" s="40" t="inlineStr">
        <is>
          <t>Federal Election Law §35</t>
        </is>
      </c>
    </row>
    <row r="31" ht="40" customHeight="1">
      <c r="A31" s="34" t="inlineStr">
        <is>
          <t>🇩🇪 Germany</t>
        </is>
      </c>
      <c r="B31" s="35" t="n">
        <v>6</v>
      </c>
      <c r="C31" s="45" t="inlineStr">
        <is>
          <t>Results</t>
        </is>
      </c>
      <c r="D31" s="37" t="inlineStr">
        <is>
          <t>Seat Allocation (Sainte-Laguë)</t>
        </is>
      </c>
      <c r="E31" s="38" t="inlineStr">
        <is>
          <t>Election night and weeks after</t>
        </is>
      </c>
      <c r="F31" s="42" t="inlineStr">
        <is>
          <t>Upcoming</t>
        </is>
      </c>
      <c r="G31" s="17" t="inlineStr">
        <is>
          <t>5% threshold or 3 direct seats needed. Overhang and leveling seats calculated. Final Bundestag size often exceeds 598 base seats.</t>
        </is>
      </c>
      <c r="H31" s="40" t="inlineStr">
        <is>
          <t>Federal Election Law §6</t>
        </is>
      </c>
    </row>
    <row r="32" ht="40" customHeight="1">
      <c r="A32" s="34" t="inlineStr">
        <is>
          <t>🇩🇪 Germany</t>
        </is>
      </c>
      <c r="B32" s="35" t="n">
        <v>7</v>
      </c>
      <c r="C32" s="45" t="inlineStr">
        <is>
          <t>Results</t>
        </is>
      </c>
      <c r="D32" s="37" t="inlineStr">
        <is>
          <t>Coalition Talks &amp; Chancellor Elected</t>
        </is>
      </c>
      <c r="E32" s="38" t="inlineStr">
        <is>
          <t>Weeks to months post-election</t>
        </is>
      </c>
      <c r="F32" s="42" t="inlineStr">
        <is>
          <t>Upcoming</t>
        </is>
      </c>
      <c r="G32" s="17" t="inlineStr">
        <is>
          <t>Coalition negotiations produce Koalitionsvertrag. Bundestag elects Chancellor by absolute majority. Federal President appoints Cabinet.</t>
        </is>
      </c>
      <c r="H32" s="40" t="inlineStr">
        <is>
          <t>Basic Law Articles 63–69</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showGridLines="0" workbookViewId="0">
      <selection activeCell="A1" sqref="A1"/>
    </sheetView>
  </sheetViews>
  <sheetFormatPr baseColWidth="8" defaultRowHeight="15"/>
  <cols>
    <col width="5" customWidth="1" min="1" max="1"/>
    <col width="40" customWidth="1" min="2" max="2"/>
    <col width="26" customWidth="1" min="3" max="3"/>
    <col width="26" customWidth="1" min="4" max="4"/>
    <col width="26" customWidth="1" min="5" max="5"/>
    <col width="26" customWidth="1" min="6" max="6"/>
    <col width="9" customWidth="1" min="7" max="7"/>
    <col width="50" customWidth="1" min="8" max="8"/>
  </cols>
  <sheetData>
    <row r="1" ht="36" customHeight="1">
      <c r="A1" s="46" t="inlineStr">
        <is>
          <t>Election Quiz — Question Bank</t>
        </is>
      </c>
    </row>
    <row r="2" ht="20" customHeight="1">
      <c r="A2" s="14" t="inlineStr">
        <is>
          <t>All 10 quiz questions with options, correct answers, and explanations</t>
        </is>
      </c>
    </row>
    <row r="4" ht="28" customHeight="1">
      <c r="A4" s="8" t="inlineStr">
        <is>
          <t>Q#</t>
        </is>
      </c>
      <c r="B4" s="8" t="inlineStr">
        <is>
          <t>Question</t>
        </is>
      </c>
      <c r="C4" s="8" t="inlineStr">
        <is>
          <t>Option A</t>
        </is>
      </c>
      <c r="D4" s="8" t="inlineStr">
        <is>
          <t>Option B</t>
        </is>
      </c>
      <c r="E4" s="8" t="inlineStr">
        <is>
          <t>Option C</t>
        </is>
      </c>
      <c r="F4" s="8" t="inlineStr">
        <is>
          <t>Option D</t>
        </is>
      </c>
      <c r="G4" s="8" t="inlineStr">
        <is>
          <t>Correct</t>
        </is>
      </c>
      <c r="H4" s="8" t="inlineStr">
        <is>
          <t>Explanation</t>
        </is>
      </c>
    </row>
    <row r="5" ht="55" customHeight="1">
      <c r="A5" s="47" t="n">
        <v>1</v>
      </c>
      <c r="B5" s="48" t="inlineStr">
        <is>
          <t>What is the minimum voting age in most democracies worldwide?</t>
        </is>
      </c>
      <c r="C5" s="17" t="inlineStr">
        <is>
          <t>16 years</t>
        </is>
      </c>
      <c r="D5" s="49" t="inlineStr">
        <is>
          <t>18 years</t>
        </is>
      </c>
      <c r="E5" s="17" t="inlineStr">
        <is>
          <t>21 years</t>
        </is>
      </c>
      <c r="F5" s="17" t="inlineStr">
        <is>
          <t>25 years</t>
        </is>
      </c>
      <c r="G5" s="50" t="inlineStr">
        <is>
          <t>B</t>
        </is>
      </c>
      <c r="H5" s="51" t="inlineStr">
        <is>
          <t>18 is the standard in 90%+ of countries. Some (Austria, Scotland) allow 16. The 26th Amendment set 18 in the USA in 1971.</t>
        </is>
      </c>
    </row>
    <row r="6" ht="55" customHeight="1">
      <c r="A6" s="47" t="n">
        <v>2</v>
      </c>
      <c r="B6" s="48" t="inlineStr">
        <is>
          <t>What does 'FPTP' (First-Past-the-Post) mean?</t>
        </is>
      </c>
      <c r="C6" s="21" t="inlineStr">
        <is>
          <t>Fastest candidate wins</t>
        </is>
      </c>
      <c r="D6" s="49" t="inlineStr">
        <is>
          <t>Most votes wins (no majority needed)</t>
        </is>
      </c>
      <c r="E6" s="21" t="inlineStr">
        <is>
          <t>Top two go to runoff</t>
        </is>
      </c>
      <c r="F6" s="21" t="inlineStr">
        <is>
          <t>Proportional allocation</t>
        </is>
      </c>
      <c r="G6" s="50" t="inlineStr">
        <is>
          <t>B</t>
        </is>
      </c>
      <c r="H6" s="51" t="inlineStr">
        <is>
          <t>In FPTP the candidate with most votes wins regardless of majority. Used in USA, UK, India, Canada.</t>
        </is>
      </c>
    </row>
    <row r="7" ht="55" customHeight="1">
      <c r="A7" s="47" t="n">
        <v>3</v>
      </c>
      <c r="B7" s="48" t="inlineStr">
        <is>
          <t>Which country uses the Electoral College to elect its president?</t>
        </is>
      </c>
      <c r="C7" s="17" t="inlineStr">
        <is>
          <t>France</t>
        </is>
      </c>
      <c r="D7" s="17" t="inlineStr">
        <is>
          <t>Germany</t>
        </is>
      </c>
      <c r="E7" s="49" t="inlineStr">
        <is>
          <t>United States</t>
        </is>
      </c>
      <c r="F7" s="17" t="inlineStr">
        <is>
          <t>Brazil</t>
        </is>
      </c>
      <c r="G7" s="50" t="inlineStr">
        <is>
          <t>C</t>
        </is>
      </c>
      <c r="H7" s="51" t="inlineStr">
        <is>
          <t>The US Electoral College has 538 electors. A candidate needs 270 votes to win. Each state's votes equal its total Congressional seats.</t>
        </is>
      </c>
    </row>
    <row r="8" ht="55" customHeight="1">
      <c r="A8" s="47" t="n">
        <v>4</v>
      </c>
      <c r="B8" s="48" t="inlineStr">
        <is>
          <t>What is 'voter turnout'?</t>
        </is>
      </c>
      <c r="C8" s="21" t="inlineStr">
        <is>
          <t>Total registered voters</t>
        </is>
      </c>
      <c r="D8" s="49" t="inlineStr">
        <is>
          <t>% of eligible voters who actually voted</t>
        </is>
      </c>
      <c r="E8" s="21" t="inlineStr">
        <is>
          <t>Margin of victory</t>
        </is>
      </c>
      <c r="F8" s="21" t="inlineStr">
        <is>
          <t>Number of candidates</t>
        </is>
      </c>
      <c r="G8" s="50" t="inlineStr">
        <is>
          <t>B</t>
        </is>
      </c>
      <c r="H8" s="51" t="inlineStr">
        <is>
          <t>Voter turnout is the percentage of eligible voters who cast a ballot. Key democracy health indicator. Australia exceeds 90% with compulsory voting.</t>
        </is>
      </c>
    </row>
    <row r="9" ht="55" customHeight="1">
      <c r="A9" s="47" t="n">
        <v>5</v>
      </c>
      <c r="B9" s="48" t="inlineStr">
        <is>
          <t>Which constitutional amendment gave US women the right to vote?</t>
        </is>
      </c>
      <c r="C9" s="17" t="inlineStr">
        <is>
          <t>13th Amendment</t>
        </is>
      </c>
      <c r="D9" s="17" t="inlineStr">
        <is>
          <t>15th Amendment</t>
        </is>
      </c>
      <c r="E9" s="49" t="inlineStr">
        <is>
          <t>19th Amendment</t>
        </is>
      </c>
      <c r="F9" s="17" t="inlineStr">
        <is>
          <t>26th Amendment</t>
        </is>
      </c>
      <c r="G9" s="50" t="inlineStr">
        <is>
          <t>C</t>
        </is>
      </c>
      <c r="H9" s="51" t="inlineStr">
        <is>
          <t>The 19th Amendment, ratified August 18, 1920, prohibits denying voting rights based on sex. Victory of the women's suffrage movement.</t>
        </is>
      </c>
    </row>
    <row r="10" ht="55" customHeight="1">
      <c r="A10" s="47" t="n">
        <v>6</v>
      </c>
      <c r="B10" s="48" t="inlineStr">
        <is>
          <t>What is a 'hung parliament'?</t>
        </is>
      </c>
      <c r="C10" s="21" t="inlineStr">
        <is>
          <t>A suspended parliament</t>
        </is>
      </c>
      <c r="D10" s="49" t="inlineStr">
        <is>
          <t>No party has an absolute majority</t>
        </is>
      </c>
      <c r="E10" s="21" t="inlineStr">
        <is>
          <t>An election result under dispute</t>
        </is>
      </c>
      <c r="F10" s="21" t="inlineStr">
        <is>
          <t>A parliament in constitutional crisis</t>
        </is>
      </c>
      <c r="G10" s="50" t="inlineStr">
        <is>
          <t>B</t>
        </is>
      </c>
      <c r="H10" s="51" t="inlineStr">
        <is>
          <t>A hung parliament occurs when no single party wins enough seats for a majority. Leads to coalition talks or minority government. UK had this in 2010 and 2017.</t>
        </is>
      </c>
    </row>
    <row r="11" ht="55" customHeight="1">
      <c r="A11" s="47" t="n">
        <v>7</v>
      </c>
      <c r="B11" s="48" t="inlineStr">
        <is>
          <t>What is 'gerrymandering'?</t>
        </is>
      </c>
      <c r="C11" s="17" t="inlineStr">
        <is>
          <t>Voter suppression tactics</t>
        </is>
      </c>
      <c r="D11" s="49" t="inlineStr">
        <is>
          <t>Manipulating district boundaries for political gain</t>
        </is>
      </c>
      <c r="E11" s="17" t="inlineStr">
        <is>
          <t>Campaign finance fraud</t>
        </is>
      </c>
      <c r="F11" s="17" t="inlineStr">
        <is>
          <t>Blocking candidates from filing</t>
        </is>
      </c>
      <c r="G11" s="50" t="inlineStr">
        <is>
          <t>B</t>
        </is>
      </c>
      <c r="H11" s="51" t="inlineStr">
        <is>
          <t>Named after Governor Elbridge Gerry (1812), gerrymandering redraws electoral district boundaries to favor one party or group over others.</t>
        </is>
      </c>
    </row>
    <row r="12" ht="55" customHeight="1">
      <c r="A12" s="47" t="n">
        <v>8</v>
      </c>
      <c r="B12" s="48" t="inlineStr">
        <is>
          <t>Which country has compulsory voting (with fines for not voting)?</t>
        </is>
      </c>
      <c r="C12" s="21" t="inlineStr">
        <is>
          <t>Canada</t>
        </is>
      </c>
      <c r="D12" s="21" t="inlineStr">
        <is>
          <t>United Kingdom</t>
        </is>
      </c>
      <c r="E12" s="21" t="inlineStr">
        <is>
          <t>Sweden</t>
        </is>
      </c>
      <c r="F12" s="49" t="inlineStr">
        <is>
          <t>Australia</t>
        </is>
      </c>
      <c r="G12" s="50" t="inlineStr">
        <is>
          <t>D</t>
        </is>
      </c>
      <c r="H12" s="51" t="inlineStr">
        <is>
          <t>Australia introduced compulsory voting in 1924. Non-voters face an AUD$20+ fine. Results in consistently high 90%+ turnout.</t>
        </is>
      </c>
    </row>
    <row r="13" ht="55" customHeight="1">
      <c r="A13" s="47" t="n">
        <v>9</v>
      </c>
      <c r="B13" s="48" t="inlineStr">
        <is>
          <t>What is the primary role of an Election Commission?</t>
        </is>
      </c>
      <c r="C13" s="17" t="inlineStr">
        <is>
          <t>Select winning candidates</t>
        </is>
      </c>
      <c r="D13" s="49" t="inlineStr">
        <is>
          <t>Administer and oversee elections impartially</t>
        </is>
      </c>
      <c r="E13" s="17" t="inlineStr">
        <is>
          <t>Write election laws</t>
        </is>
      </c>
      <c r="F13" s="17" t="inlineStr">
        <is>
          <t>Manage campaign finances only</t>
        </is>
      </c>
      <c r="G13" s="50" t="inlineStr">
        <is>
          <t>B</t>
        </is>
      </c>
      <c r="H13" s="51" t="inlineStr">
        <is>
          <t>Election commissions are independent bodies ensuring free and fair elections. Examples: FEC (USA), ECI (India), Electoral Commission (UK).</t>
        </is>
      </c>
    </row>
    <row r="14" ht="55" customHeight="1">
      <c r="A14" s="47" t="n">
        <v>10</v>
      </c>
      <c r="B14" s="48" t="inlineStr">
        <is>
          <t>What is a 'referendum'?</t>
        </is>
      </c>
      <c r="C14" s="21" t="inlineStr">
        <is>
          <t>A recall election for an official</t>
        </is>
      </c>
      <c r="D14" s="49" t="inlineStr">
        <is>
          <t>Direct vote by citizens on a specific issue</t>
        </is>
      </c>
      <c r="E14" s="21" t="inlineStr">
        <is>
          <t>A vote to select party candidates</t>
        </is>
      </c>
      <c r="F14" s="21" t="inlineStr">
        <is>
          <t>A runoff between top two candidates</t>
        </is>
      </c>
      <c r="G14" s="50" t="inlineStr">
        <is>
          <t>B</t>
        </is>
      </c>
      <c r="H14" s="51" t="inlineStr">
        <is>
          <t>A referendum is a direct citizen vote on a policy or constitutional question. Famous examples: Brexit (UK 2016), Good Friday Agreement (Ireland 1998).</t>
        </is>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showGridLines="0" workbookViewId="0">
      <selection activeCell="A1" sqref="A1"/>
    </sheetView>
  </sheetViews>
  <sheetFormatPr baseColWidth="8" defaultRowHeight="15"/>
  <cols>
    <col width="5" customWidth="1" min="1" max="1"/>
    <col width="28" customWidth="1" min="2" max="2"/>
    <col width="12" customWidth="1" min="3" max="3"/>
    <col width="65" customWidth="1" min="4" max="4"/>
    <col width="34" customWidth="1" min="5" max="5"/>
  </cols>
  <sheetData>
    <row r="1" ht="36" customHeight="1">
      <c r="A1" s="52" t="inlineStr">
        <is>
          <t>Election Glossary — Complete Term Reference</t>
        </is>
      </c>
    </row>
    <row r="2" ht="20" customHeight="1">
      <c r="A2" s="14" t="inlineStr">
        <is>
          <t>29 key election terms across 4 categories with full definitions</t>
        </is>
      </c>
    </row>
    <row r="4" ht="28" customHeight="1">
      <c r="A4" s="53" t="inlineStr">
        <is>
          <t>#</t>
        </is>
      </c>
      <c r="B4" s="53" t="inlineStr">
        <is>
          <t>Term</t>
        </is>
      </c>
      <c r="C4" s="53" t="inlineStr">
        <is>
          <t>Category</t>
        </is>
      </c>
      <c r="D4" s="53" t="inlineStr">
        <is>
          <t>Definition</t>
        </is>
      </c>
      <c r="E4" s="53" t="inlineStr">
        <is>
          <t>Example / Country</t>
        </is>
      </c>
    </row>
    <row r="5" ht="55" customHeight="1">
      <c r="A5" s="54" t="n">
        <v>1</v>
      </c>
      <c r="B5" s="3" t="inlineStr">
        <is>
          <t>Announcement</t>
        </is>
      </c>
      <c r="C5" s="55" t="inlineStr">
        <is>
          <t>Process</t>
        </is>
      </c>
      <c r="D5" s="17" t="inlineStr">
        <is>
          <t>The official declaration by the Head of State or electoral authority that an election will take place. Sets the start of the formal election calendar.</t>
        </is>
      </c>
      <c r="E5" s="56" t="inlineStr">
        <is>
          <t>India: ECI announces schedule + MCC</t>
        </is>
      </c>
    </row>
    <row r="6" ht="55" customHeight="1">
      <c r="A6" s="54" t="n">
        <v>2</v>
      </c>
      <c r="B6" s="3" t="inlineStr">
        <is>
          <t>Filing Period</t>
        </is>
      </c>
      <c r="C6" s="55" t="inlineStr">
        <is>
          <t>Process</t>
        </is>
      </c>
      <c r="D6" s="17" t="inlineStr">
        <is>
          <t>The window during which candidates must officially register their intention to run for office, submit required documents, pay deposits, and meet eligibility criteria.</t>
        </is>
      </c>
      <c r="E6" s="56" t="inlineStr">
        <is>
          <t>UK: 19 working days before election</t>
        </is>
      </c>
    </row>
    <row r="7" ht="55" customHeight="1">
      <c r="A7" s="54" t="n">
        <v>3</v>
      </c>
      <c r="B7" s="3" t="inlineStr">
        <is>
          <t>Campaign Period</t>
        </is>
      </c>
      <c r="C7" s="55" t="inlineStr">
        <is>
          <t>Process</t>
        </is>
      </c>
      <c r="D7" s="17" t="inlineStr">
        <is>
          <t>The formally defined time during which candidates and parties are permitted to campaign, advertise, and solicit votes. Spending limits and conduct rules apply.</t>
        </is>
      </c>
      <c r="E7" s="56" t="inlineStr">
        <is>
          <t>Germany: ~8 weeks before election</t>
        </is>
      </c>
    </row>
    <row r="8" ht="55" customHeight="1">
      <c r="A8" s="54" t="n">
        <v>4</v>
      </c>
      <c r="B8" s="3" t="inlineStr">
        <is>
          <t>Early Voting</t>
        </is>
      </c>
      <c r="C8" s="55" t="inlineStr">
        <is>
          <t>Process</t>
        </is>
      </c>
      <c r="D8" s="17" t="inlineStr">
        <is>
          <t>Voting that takes place before the official Election Day, usually at designated early voting centers or by mail, for voters unable to attend on Election Day.</t>
        </is>
      </c>
      <c r="E8" s="56" t="inlineStr">
        <is>
          <t>USA: 30+ states offer early voting</t>
        </is>
      </c>
    </row>
    <row r="9" ht="55" customHeight="1">
      <c r="A9" s="54" t="n">
        <v>5</v>
      </c>
      <c r="B9" s="3" t="inlineStr">
        <is>
          <t>Election Day</t>
        </is>
      </c>
      <c r="C9" s="55" t="inlineStr">
        <is>
          <t>Process</t>
        </is>
      </c>
      <c r="D9" s="17" t="inlineStr">
        <is>
          <t>The designated day on which eligible voters cast their ballots at polling places. In Germany held on Sunday; in UK traditionally Thursday; in USA the first Tuesday after Nov 1.</t>
        </is>
      </c>
      <c r="E9" s="56" t="inlineStr">
        <is>
          <t>USA: First Tuesday after November 1</t>
        </is>
      </c>
    </row>
    <row r="10" ht="55" customHeight="1">
      <c r="A10" s="54" t="n">
        <v>6</v>
      </c>
      <c r="B10" s="3" t="inlineStr">
        <is>
          <t>Vote Counting</t>
        </is>
      </c>
      <c r="C10" s="55" t="inlineStr">
        <is>
          <t>Process</t>
        </is>
      </c>
      <c r="D10" s="17" t="inlineStr">
        <is>
          <t>The formal process of tallying ballots after polling closes. Can be manual or electronic, supervised by officials and observers from all parties and civil society.</t>
        </is>
      </c>
      <c r="E10" s="56" t="inlineStr">
        <is>
          <t>India: EVM counting at designated centers</t>
        </is>
      </c>
    </row>
    <row r="11" ht="55" customHeight="1">
      <c r="A11" s="54" t="n">
        <v>7</v>
      </c>
      <c r="B11" s="3" t="inlineStr">
        <is>
          <t>Recount</t>
        </is>
      </c>
      <c r="C11" s="55" t="inlineStr">
        <is>
          <t>Process</t>
        </is>
      </c>
      <c r="D11" s="17" t="inlineStr">
        <is>
          <t>A second or subsequent count of votes, typically triggered when the margin of victory falls below a defined threshold or is formally requested by a candidate.</t>
        </is>
      </c>
      <c r="E11" s="56" t="inlineStr">
        <is>
          <t>USA: Automatic in some states if &lt;0.5% margin</t>
        </is>
      </c>
    </row>
    <row r="12" ht="55" customHeight="1">
      <c r="A12" s="54" t="n">
        <v>8</v>
      </c>
      <c r="B12" s="3" t="inlineStr">
        <is>
          <t>Certification</t>
        </is>
      </c>
      <c r="C12" s="55" t="inlineStr">
        <is>
          <t>Process</t>
        </is>
      </c>
      <c r="D12" s="17" t="inlineStr">
        <is>
          <t>The formal official confirmation of election results by the relevant electoral authority, after which results have legal force and winners may transition into office.</t>
        </is>
      </c>
      <c r="E12" s="56" t="inlineStr">
        <is>
          <t>USA: States certify; Congress certifies EC</t>
        </is>
      </c>
    </row>
    <row r="13" ht="55" customHeight="1">
      <c r="A13" s="54" t="n">
        <v>9</v>
      </c>
      <c r="B13" s="3" t="inlineStr">
        <is>
          <t>Runoff Election</t>
        </is>
      </c>
      <c r="C13" s="55" t="inlineStr">
        <is>
          <t>Process</t>
        </is>
      </c>
      <c r="D13" s="17" t="inlineStr">
        <is>
          <t>A second election when no candidate received a required threshold (often 50%+1) in the first round. Top two compete. Common in France, India's presidential election.</t>
        </is>
      </c>
      <c r="E13" s="56" t="inlineStr">
        <is>
          <t>France: Two-round presidential system</t>
        </is>
      </c>
    </row>
    <row r="14" ht="55" customHeight="1">
      <c r="A14" s="57" t="n">
        <v>10</v>
      </c>
      <c r="B14" s="3" t="inlineStr">
        <is>
          <t>Suffrage</t>
        </is>
      </c>
      <c r="C14" s="58" t="inlineStr">
        <is>
          <t>Legal</t>
        </is>
      </c>
      <c r="D14" s="17" t="inlineStr">
        <is>
          <t>The right to vote in political elections. Universal suffrage means all adult citizens can vote regardless of gender, race, or property. Achieving universal suffrage was a long historical struggle.</t>
        </is>
      </c>
      <c r="E14" s="59" t="inlineStr">
        <is>
          <t>UK women got suffrage in 1918 (partial), 1928 (full)</t>
        </is>
      </c>
    </row>
    <row r="15" ht="55" customHeight="1">
      <c r="A15" s="57" t="n">
        <v>11</v>
      </c>
      <c r="B15" s="3" t="inlineStr">
        <is>
          <t>Franchise</t>
        </is>
      </c>
      <c r="C15" s="58" t="inlineStr">
        <is>
          <t>Legal</t>
        </is>
      </c>
      <c r="D15" s="17" t="inlineStr">
        <is>
          <t>The legal right to vote in an election. Derived from Old French for 'freedom.' The expansion of franchise — from propertied men to all adults — is central to democratic history.</t>
        </is>
      </c>
      <c r="E15" s="59" t="inlineStr">
        <is>
          <t>19th Amendment extended franchise to US women</t>
        </is>
      </c>
    </row>
    <row r="16" ht="55" customHeight="1">
      <c r="A16" s="57" t="n">
        <v>12</v>
      </c>
      <c r="B16" s="3" t="inlineStr">
        <is>
          <t>Ballot Access</t>
        </is>
      </c>
      <c r="C16" s="58" t="inlineStr">
        <is>
          <t>Legal</t>
        </is>
      </c>
      <c r="D16" s="17" t="inlineStr">
        <is>
          <t>Legal requirements a candidate/party must meet to appear on the official ballot: signature thresholds, filing fees, party registration, residency requirements.</t>
        </is>
      </c>
      <c r="E16" s="59" t="inlineStr">
        <is>
          <t>Germany: 200 signatures per constituency candidate</t>
        </is>
      </c>
    </row>
    <row r="17" ht="55" customHeight="1">
      <c r="A17" s="57" t="n">
        <v>13</v>
      </c>
      <c r="B17" s="3" t="inlineStr">
        <is>
          <t>Voter ID Laws</t>
        </is>
      </c>
      <c r="C17" s="58" t="inlineStr">
        <is>
          <t>Legal</t>
        </is>
      </c>
      <c r="D17" s="17" t="inlineStr">
        <is>
          <t>Laws requiring voters to present identification before casting a ballot. Supporters argue they prevent fraud; critics argue they disenfranchise marginalized communities.</t>
        </is>
      </c>
      <c r="E17" s="59" t="inlineStr">
        <is>
          <t>US: 35 states have some voter ID requirement</t>
        </is>
      </c>
    </row>
    <row r="18" ht="55" customHeight="1">
      <c r="A18" s="57" t="n">
        <v>14</v>
      </c>
      <c r="B18" s="3" t="inlineStr">
        <is>
          <t>Provisional Ballot</t>
        </is>
      </c>
      <c r="C18" s="58" t="inlineStr">
        <is>
          <t>Legal</t>
        </is>
      </c>
      <c r="D18" s="17" t="inlineStr">
        <is>
          <t>A ballot cast by a voter whose eligibility cannot be confirmed at the polling place. Set aside and counted only after eligibility is verified, typically days after Election Day.</t>
        </is>
      </c>
      <c r="E18" s="59" t="inlineStr">
        <is>
          <t>USA: Required under Help America Vote Act 2002</t>
        </is>
      </c>
    </row>
    <row r="19" ht="55" customHeight="1">
      <c r="A19" s="57" t="n">
        <v>15</v>
      </c>
      <c r="B19" s="3" t="inlineStr">
        <is>
          <t>Absentee Ballot</t>
        </is>
      </c>
      <c r="C19" s="58" t="inlineStr">
        <is>
          <t>Legal</t>
        </is>
      </c>
      <c r="D19" s="17" t="inlineStr">
        <is>
          <t>A ballot cast by a voter who cannot attend a polling place in person, submitted by mail or other means before Election Day. Also called postal vote or mail-in ballot.</t>
        </is>
      </c>
      <c r="E19" s="59" t="inlineStr">
        <is>
          <t>Germany: ~40% use Briefwahl (postal vote)</t>
        </is>
      </c>
    </row>
    <row r="20" ht="55" customHeight="1">
      <c r="A20" s="57" t="n">
        <v>16</v>
      </c>
      <c r="B20" s="3" t="inlineStr">
        <is>
          <t>Recall Election</t>
        </is>
      </c>
      <c r="C20" s="58" t="inlineStr">
        <is>
          <t>Legal</t>
        </is>
      </c>
      <c r="D20" s="17" t="inlineStr">
        <is>
          <t>A special election in which voters can remove an elected official before their term ends. Requires a qualifying petition. Used in some US states, Switzerland, Venezuela.</t>
        </is>
      </c>
      <c r="E20" s="59" t="inlineStr">
        <is>
          <t>California recalled Governor Gray Davis in 2003</t>
        </is>
      </c>
    </row>
    <row r="21" ht="55" customHeight="1">
      <c r="A21" s="60" t="n">
        <v>17</v>
      </c>
      <c r="B21" s="3" t="inlineStr">
        <is>
          <t>Voter Turnout</t>
        </is>
      </c>
      <c r="C21" s="61" t="inlineStr">
        <is>
          <t>Voter</t>
        </is>
      </c>
      <c r="D21" s="17" t="inlineStr">
        <is>
          <t>The percentage of eligible voters who actually cast a ballot. High turnout indicates a healthy democracy. Global averages: 50–70%. Compulsory voting countries: 90%+.</t>
        </is>
      </c>
      <c r="E21" s="62" t="inlineStr">
        <is>
          <t>Australia: ~91% | Germany: ~76% | USA: ~66%</t>
        </is>
      </c>
    </row>
    <row r="22" ht="55" customHeight="1">
      <c r="A22" s="60" t="n">
        <v>18</v>
      </c>
      <c r="B22" s="3" t="inlineStr">
        <is>
          <t>Swing Voter</t>
        </is>
      </c>
      <c r="C22" s="61" t="inlineStr">
        <is>
          <t>Voter</t>
        </is>
      </c>
      <c r="D22" s="17" t="inlineStr">
        <is>
          <t>A voter without strong party allegiance who may vote for different parties in different elections. Often decisive in competitive elections and targeted by campaigns.</t>
        </is>
      </c>
      <c r="E22" s="62" t="inlineStr">
        <is>
          <t>Swing voters in US battleground states</t>
        </is>
      </c>
    </row>
    <row r="23" ht="55" customHeight="1">
      <c r="A23" s="60" t="n">
        <v>19</v>
      </c>
      <c r="B23" s="3" t="inlineStr">
        <is>
          <t>Undecided Voter</t>
        </is>
      </c>
      <c r="C23" s="61" t="inlineStr">
        <is>
          <t>Voter</t>
        </is>
      </c>
      <c r="D23" s="17" t="inlineStr">
        <is>
          <t>A voter who has not yet made up their mind about which candidate or party to vote for. Closely tracked in pre-election polling as they can significantly affect outcomes.</t>
        </is>
      </c>
      <c r="E23" s="62" t="inlineStr">
        <is>
          <t>Often 5–15% of electorate pre-election</t>
        </is>
      </c>
    </row>
    <row r="24" ht="55" customHeight="1">
      <c r="A24" s="60" t="n">
        <v>20</v>
      </c>
      <c r="B24" s="3" t="inlineStr">
        <is>
          <t>First-Time Voter</t>
        </is>
      </c>
      <c r="C24" s="61" t="inlineStr">
        <is>
          <t>Voter</t>
        </is>
      </c>
      <c r="D24" s="17" t="inlineStr">
        <is>
          <t>A citizen voting for the first time, typically because they have reached voting age. Significant demographic that parties and civic organizations work to engage.</t>
        </is>
      </c>
      <c r="E24" s="62" t="inlineStr">
        <is>
          <t>~4 million first-time voters in 2024 US election</t>
        </is>
      </c>
    </row>
    <row r="25" ht="55" customHeight="1">
      <c r="A25" s="60" t="n">
        <v>21</v>
      </c>
      <c r="B25" s="3" t="inlineStr">
        <is>
          <t>Youth Vote</t>
        </is>
      </c>
      <c r="C25" s="61" t="inlineStr">
        <is>
          <t>Voter</t>
        </is>
      </c>
      <c r="D25" s="17" t="inlineStr">
        <is>
          <t>Electoral participation of young voters, typically ages 18–29. Historically lower turnout than older groups, though varies by country and election cycle.</t>
        </is>
      </c>
      <c r="E25" s="62" t="inlineStr">
        <is>
          <t>2020 USA: 50% of 18–29 year olds voted</t>
        </is>
      </c>
    </row>
    <row r="26" ht="55" customHeight="1">
      <c r="A26" s="60" t="n">
        <v>22</v>
      </c>
      <c r="B26" s="3" t="inlineStr">
        <is>
          <t>Diaspora Voting</t>
        </is>
      </c>
      <c r="C26" s="61" t="inlineStr">
        <is>
          <t>Voter</t>
        </is>
      </c>
      <c r="D26" s="17" t="inlineStr">
        <is>
          <t>The ability of citizens living abroad to vote in their home country's elections via postal ballot, embassies, or electronic means. A growing area of electoral law.</t>
        </is>
      </c>
      <c r="E26" s="62" t="inlineStr">
        <is>
          <t>India: Allows NRIs to vote in person in India</t>
        </is>
      </c>
    </row>
    <row r="27" ht="55" customHeight="1">
      <c r="A27" s="63" t="n">
        <v>23</v>
      </c>
      <c r="B27" s="3" t="inlineStr">
        <is>
          <t>First-Past-The-Post</t>
        </is>
      </c>
      <c r="C27" s="64" t="inlineStr">
        <is>
          <t>System</t>
        </is>
      </c>
      <c r="D27" s="17" t="inlineStr">
        <is>
          <t>Electoral system where the candidate with the most votes in a constituency wins, regardless of majority. Simple and decisive but can produce disproportionate results.</t>
        </is>
      </c>
      <c r="E27" s="65" t="inlineStr">
        <is>
          <t>USA, UK, India, Canada</t>
        </is>
      </c>
    </row>
    <row r="28" ht="55" customHeight="1">
      <c r="A28" s="63" t="n">
        <v>24</v>
      </c>
      <c r="B28" s="3" t="inlineStr">
        <is>
          <t>Proportional Representation</t>
        </is>
      </c>
      <c r="C28" s="64" t="inlineStr">
        <is>
          <t>System</t>
        </is>
      </c>
      <c r="D28" s="17" t="inlineStr">
        <is>
          <t>Electoral system where the proportion of seats a party wins closely matches its vote share. More representative but can lead to coalition governments and political fragmentation.</t>
        </is>
      </c>
      <c r="E28" s="65" t="inlineStr">
        <is>
          <t>Israel, Netherlands, Spain</t>
        </is>
      </c>
    </row>
    <row r="29" ht="55" customHeight="1">
      <c r="A29" s="63" t="n">
        <v>25</v>
      </c>
      <c r="B29" s="3" t="inlineStr">
        <is>
          <t>Mixed-Member Proportional</t>
        </is>
      </c>
      <c r="C29" s="64" t="inlineStr">
        <is>
          <t>System</t>
        </is>
      </c>
      <c r="D29" s="17" t="inlineStr">
        <is>
          <t>System combining FPTP constituency seats with proportional list seats. Germany's MMP uses two votes — first for local candidate, second for party list — to ensure proportionality.</t>
        </is>
      </c>
      <c r="E29" s="65" t="inlineStr">
        <is>
          <t>Germany, New Zealand, Scotland</t>
        </is>
      </c>
    </row>
    <row r="30" ht="55" customHeight="1">
      <c r="A30" s="63" t="n">
        <v>26</v>
      </c>
      <c r="B30" s="3" t="inlineStr">
        <is>
          <t>Ranked-Choice Voting</t>
        </is>
      </c>
      <c r="C30" s="64" t="inlineStr">
        <is>
          <t>System</t>
        </is>
      </c>
      <c r="D30" s="17" t="inlineStr">
        <is>
          <t>Voters rank candidates in order of preference. If no majority in first count, lowest candidate eliminated and votes redistributed. Ensures winner has broad support.</t>
        </is>
      </c>
      <c r="E30" s="65" t="inlineStr">
        <is>
          <t>Australia, Maine (USA), Ireland</t>
        </is>
      </c>
    </row>
    <row r="31" ht="55" customHeight="1">
      <c r="A31" s="63" t="n">
        <v>27</v>
      </c>
      <c r="B31" s="3" t="inlineStr">
        <is>
          <t>Two-Round System</t>
        </is>
      </c>
      <c r="C31" s="64" t="inlineStr">
        <is>
          <t>System</t>
        </is>
      </c>
      <c r="D31" s="17" t="inlineStr">
        <is>
          <t>If no candidate wins an outright majority in round one, a second round between the top two ensures the winner has majority support. Used widely in presidential elections.</t>
        </is>
      </c>
      <c r="E31" s="65" t="inlineStr">
        <is>
          <t>France, Russia, Brazil</t>
        </is>
      </c>
    </row>
    <row r="32" ht="55" customHeight="1">
      <c r="A32" s="63" t="n">
        <v>28</v>
      </c>
      <c r="B32" s="3" t="inlineStr">
        <is>
          <t>Electoral College</t>
        </is>
      </c>
      <c r="C32" s="64" t="inlineStr">
        <is>
          <t>System</t>
        </is>
      </c>
      <c r="D32" s="17" t="inlineStr">
        <is>
          <t>The US system of 538 electors who formally elect the President. Each state's count equals its Congressional seats. Candidate needs 270 to win. Critics cite potential for popular vote winner to lose.</t>
        </is>
      </c>
      <c r="E32" s="65" t="inlineStr">
        <is>
          <t>United States only</t>
        </is>
      </c>
    </row>
    <row r="33" ht="55" customHeight="1">
      <c r="A33" s="63" t="n">
        <v>29</v>
      </c>
      <c r="B33" s="3" t="inlineStr">
        <is>
          <t>Constituency</t>
        </is>
      </c>
      <c r="C33" s="64" t="inlineStr">
        <is>
          <t>System</t>
        </is>
      </c>
      <c r="D33" s="17" t="inlineStr">
        <is>
          <t>A defined geographic area that elects one or more representatives to a legislature. Also: district (US), riding (Canada), seat (UK). Boundary drawing can heavily influence outcomes.</t>
        </is>
      </c>
      <c r="E33" s="65" t="inlineStr">
        <is>
          <t>UK: 650 constituencies for General Election</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2"/>
  <sheetViews>
    <sheetView showGridLines="0" workbookViewId="0">
      <selection activeCell="A1" sqref="A1"/>
    </sheetView>
  </sheetViews>
  <sheetFormatPr baseColWidth="8" defaultRowHeight="15"/>
  <cols>
    <col width="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2" customWidth="1" min="9" max="9"/>
  </cols>
  <sheetData>
    <row r="1" ht="36" customHeight="1">
      <c r="A1" s="13" t="inlineStr">
        <is>
          <t>Historical Voter Turnout Data (2000–2024)</t>
        </is>
      </c>
    </row>
    <row r="2" ht="20" customHeight="1">
      <c r="A2" s="14" t="inlineStr">
        <is>
          <t>National election turnout percentages for major democracies — General/Parliamentary Elections</t>
        </is>
      </c>
    </row>
    <row r="4" ht="28" customHeight="1">
      <c r="A4" s="33" t="inlineStr">
        <is>
          <t>Year</t>
        </is>
      </c>
      <c r="B4" s="33" t="inlineStr">
        <is>
          <t>🇺🇸 USA</t>
        </is>
      </c>
      <c r="C4" s="33" t="inlineStr">
        <is>
          <t>🇮🇳 India</t>
        </is>
      </c>
      <c r="D4" s="33" t="inlineStr">
        <is>
          <t>🇩🇪 Germany</t>
        </is>
      </c>
      <c r="E4" s="33" t="inlineStr">
        <is>
          <t>🇬🇧 UK</t>
        </is>
      </c>
      <c r="F4" s="33" t="inlineStr">
        <is>
          <t>🇫🇷 France</t>
        </is>
      </c>
      <c r="G4" s="33" t="inlineStr">
        <is>
          <t>🇧🇷 Brazil</t>
        </is>
      </c>
      <c r="H4" s="33" t="inlineStr">
        <is>
          <t>🇦🇺 Australia</t>
        </is>
      </c>
      <c r="I4" s="33" t="inlineStr">
        <is>
          <t>Average</t>
        </is>
      </c>
      <c r="J4" s="33" t="n"/>
    </row>
    <row r="5" ht="22" customHeight="1">
      <c r="A5" s="34" t="n">
        <v>2000</v>
      </c>
      <c r="B5" s="66" t="n">
        <v>0.513</v>
      </c>
      <c r="C5" s="66" t="n">
        <v>0.597</v>
      </c>
      <c r="D5" s="67" t="n">
        <v>0.7909999999999999</v>
      </c>
      <c r="E5" s="66" t="n">
        <v>0.594</v>
      </c>
      <c r="F5" s="66" t="n">
        <v>0.603</v>
      </c>
      <c r="G5" s="67" t="n">
        <v>0.785</v>
      </c>
      <c r="H5" s="68" t="n">
        <v>0.9520000000000001</v>
      </c>
      <c r="I5" s="69" t="n">
        <v>0.6909999999999999</v>
      </c>
    </row>
    <row r="6" ht="22" customHeight="1">
      <c r="A6" s="34" t="n">
        <v>2002</v>
      </c>
      <c r="B6" s="70" t="inlineStr">
        <is>
          <t>—</t>
        </is>
      </c>
      <c r="C6" s="70" t="inlineStr">
        <is>
          <t>—</t>
        </is>
      </c>
      <c r="D6" s="67" t="n">
        <v>0.7909999999999999</v>
      </c>
      <c r="E6" s="70" t="inlineStr">
        <is>
          <t>—</t>
        </is>
      </c>
      <c r="F6" s="66" t="n">
        <v>0.603</v>
      </c>
      <c r="G6" s="70" t="inlineStr">
        <is>
          <t>—</t>
        </is>
      </c>
      <c r="H6" s="70" t="inlineStr">
        <is>
          <t>—</t>
        </is>
      </c>
      <c r="I6" s="69" t="n">
        <v>0.6970000000000001</v>
      </c>
    </row>
    <row r="7" ht="22" customHeight="1">
      <c r="A7" s="34" t="n">
        <v>2004</v>
      </c>
      <c r="B7" s="66" t="n">
        <v>0.5570000000000001</v>
      </c>
      <c r="C7" s="66" t="n">
        <v>0.581</v>
      </c>
      <c r="D7" s="70" t="inlineStr">
        <is>
          <t>—</t>
        </is>
      </c>
      <c r="E7" s="66" t="n">
        <v>0.614</v>
      </c>
      <c r="F7" s="70" t="inlineStr">
        <is>
          <t>—</t>
        </is>
      </c>
      <c r="G7" s="68" t="n">
        <v>0.8059999999999999</v>
      </c>
      <c r="H7" s="68" t="n">
        <v>0.9429999999999999</v>
      </c>
      <c r="I7" s="69" t="n">
        <v>0.7</v>
      </c>
    </row>
    <row r="8" ht="22" customHeight="1">
      <c r="A8" s="34" t="n">
        <v>2005</v>
      </c>
      <c r="B8" s="70" t="inlineStr">
        <is>
          <t>—</t>
        </is>
      </c>
      <c r="C8" s="70" t="inlineStr">
        <is>
          <t>—</t>
        </is>
      </c>
      <c r="D8" s="70" t="inlineStr">
        <is>
          <t>—</t>
        </is>
      </c>
      <c r="E8" s="66" t="n">
        <v>0.614</v>
      </c>
      <c r="F8" s="70" t="inlineStr">
        <is>
          <t>—</t>
        </is>
      </c>
      <c r="G8" s="70" t="inlineStr">
        <is>
          <t>—</t>
        </is>
      </c>
      <c r="H8" s="70" t="inlineStr">
        <is>
          <t>—</t>
        </is>
      </c>
      <c r="I8" s="69" t="n">
        <v>0.614</v>
      </c>
    </row>
    <row r="9" ht="22" customHeight="1">
      <c r="A9" s="34" t="n">
        <v>2006</v>
      </c>
      <c r="B9" s="70" t="inlineStr">
        <is>
          <t>—</t>
        </is>
      </c>
      <c r="C9" s="70" t="inlineStr">
        <is>
          <t>—</t>
        </is>
      </c>
      <c r="D9" s="67" t="n">
        <v>0.777</v>
      </c>
      <c r="E9" s="70" t="inlineStr">
        <is>
          <t>—</t>
        </is>
      </c>
      <c r="F9" s="70" t="inlineStr">
        <is>
          <t>—</t>
        </is>
      </c>
      <c r="G9" s="70" t="inlineStr">
        <is>
          <t>—</t>
        </is>
      </c>
      <c r="H9" s="70" t="inlineStr">
        <is>
          <t>—</t>
        </is>
      </c>
      <c r="I9" s="69" t="n">
        <v>0.777</v>
      </c>
    </row>
    <row r="10" ht="22" customHeight="1">
      <c r="A10" s="34" t="n">
        <v>2008</v>
      </c>
      <c r="B10" s="66" t="n">
        <v>0.5710000000000001</v>
      </c>
      <c r="C10" s="66" t="n">
        <v>0.5820000000000001</v>
      </c>
      <c r="D10" s="70" t="inlineStr">
        <is>
          <t>—</t>
        </is>
      </c>
      <c r="E10" s="70" t="inlineStr">
        <is>
          <t>—</t>
        </is>
      </c>
      <c r="F10" s="70" t="inlineStr">
        <is>
          <t>—</t>
        </is>
      </c>
      <c r="G10" s="70" t="inlineStr">
        <is>
          <t>—</t>
        </is>
      </c>
      <c r="H10" s="68" t="n">
        <v>0.95</v>
      </c>
      <c r="I10" s="69" t="n">
        <v>0.701</v>
      </c>
    </row>
    <row r="11" ht="22" customHeight="1">
      <c r="A11" s="34" t="n">
        <v>2009</v>
      </c>
      <c r="B11" s="70" t="inlineStr">
        <is>
          <t>—</t>
        </is>
      </c>
      <c r="C11" s="70" t="inlineStr">
        <is>
          <t>—</t>
        </is>
      </c>
      <c r="D11" s="67" t="n">
        <v>0.708</v>
      </c>
      <c r="E11" s="70" t="inlineStr">
        <is>
          <t>—</t>
        </is>
      </c>
      <c r="F11" s="70" t="inlineStr">
        <is>
          <t>—</t>
        </is>
      </c>
      <c r="G11" s="70" t="inlineStr">
        <is>
          <t>—</t>
        </is>
      </c>
      <c r="H11" s="70" t="inlineStr">
        <is>
          <t>—</t>
        </is>
      </c>
      <c r="I11" s="69" t="n">
        <v>0.708</v>
      </c>
    </row>
    <row r="12" ht="22" customHeight="1">
      <c r="A12" s="34" t="n">
        <v>2010</v>
      </c>
      <c r="B12" s="70" t="inlineStr">
        <is>
          <t>—</t>
        </is>
      </c>
      <c r="C12" s="70" t="inlineStr">
        <is>
          <t>—</t>
        </is>
      </c>
      <c r="D12" s="70" t="inlineStr">
        <is>
          <t>—</t>
        </is>
      </c>
      <c r="E12" s="67" t="n">
        <v>0.6509999999999999</v>
      </c>
      <c r="F12" s="70" t="inlineStr">
        <is>
          <t>—</t>
        </is>
      </c>
      <c r="G12" s="70" t="inlineStr">
        <is>
          <t>—</t>
        </is>
      </c>
      <c r="H12" s="70" t="inlineStr">
        <is>
          <t>—</t>
        </is>
      </c>
      <c r="I12" s="69" t="n">
        <v>0.6509999999999999</v>
      </c>
    </row>
    <row r="13" ht="22" customHeight="1">
      <c r="A13" s="34" t="n">
        <v>2012</v>
      </c>
      <c r="B13" s="66" t="n">
        <v>0.5489999999999999</v>
      </c>
      <c r="C13" s="67" t="n">
        <v>0.664</v>
      </c>
      <c r="D13" s="70" t="inlineStr">
        <is>
          <t>—</t>
        </is>
      </c>
      <c r="E13" s="70" t="inlineStr">
        <is>
          <t>—</t>
        </is>
      </c>
      <c r="F13" s="68" t="n">
        <v>0.804</v>
      </c>
      <c r="G13" s="68" t="n">
        <v>0.8059999999999999</v>
      </c>
      <c r="H13" s="70" t="inlineStr">
        <is>
          <t>—</t>
        </is>
      </c>
      <c r="I13" s="69" t="n">
        <v>0.706</v>
      </c>
    </row>
    <row r="14" ht="22" customHeight="1">
      <c r="A14" s="34" t="n">
        <v>2013</v>
      </c>
      <c r="B14" s="70" t="inlineStr">
        <is>
          <t>—</t>
        </is>
      </c>
      <c r="C14" s="70" t="inlineStr">
        <is>
          <t>—</t>
        </is>
      </c>
      <c r="D14" s="67" t="n">
        <v>0.715</v>
      </c>
      <c r="E14" s="70" t="inlineStr">
        <is>
          <t>—</t>
        </is>
      </c>
      <c r="F14" s="70" t="inlineStr">
        <is>
          <t>—</t>
        </is>
      </c>
      <c r="G14" s="70" t="inlineStr">
        <is>
          <t>—</t>
        </is>
      </c>
      <c r="H14" s="68" t="n">
        <v>0.9320000000000001</v>
      </c>
      <c r="I14" s="69" t="n">
        <v>0.823</v>
      </c>
    </row>
    <row r="15" ht="22" customHeight="1">
      <c r="A15" s="34" t="n">
        <v>2014</v>
      </c>
      <c r="B15" s="70" t="inlineStr">
        <is>
          <t>—</t>
        </is>
      </c>
      <c r="C15" s="67" t="n">
        <v>0.664</v>
      </c>
      <c r="D15" s="70" t="inlineStr">
        <is>
          <t>—</t>
        </is>
      </c>
      <c r="E15" s="70" t="inlineStr">
        <is>
          <t>—</t>
        </is>
      </c>
      <c r="F15" s="70" t="inlineStr">
        <is>
          <t>—</t>
        </is>
      </c>
      <c r="G15" s="70" t="inlineStr">
        <is>
          <t>—</t>
        </is>
      </c>
      <c r="H15" s="70" t="inlineStr">
        <is>
          <t>—</t>
        </is>
      </c>
      <c r="I15" s="69" t="n">
        <v>0.664</v>
      </c>
    </row>
    <row r="16" ht="22" customHeight="1">
      <c r="A16" s="34" t="n">
        <v>2015</v>
      </c>
      <c r="B16" s="70" t="inlineStr">
        <is>
          <t>—</t>
        </is>
      </c>
      <c r="C16" s="70" t="inlineStr">
        <is>
          <t>—</t>
        </is>
      </c>
      <c r="D16" s="70" t="inlineStr">
        <is>
          <t>—</t>
        </is>
      </c>
      <c r="E16" s="67" t="n">
        <v>0.664</v>
      </c>
      <c r="F16" s="70" t="inlineStr">
        <is>
          <t>—</t>
        </is>
      </c>
      <c r="G16" s="70" t="inlineStr">
        <is>
          <t>—</t>
        </is>
      </c>
      <c r="H16" s="70" t="inlineStr">
        <is>
          <t>—</t>
        </is>
      </c>
      <c r="I16" s="69" t="n">
        <v>0.664</v>
      </c>
    </row>
    <row r="17" ht="22" customHeight="1">
      <c r="A17" s="34" t="n">
        <v>2016</v>
      </c>
      <c r="B17" s="66" t="n">
        <v>0.5570000000000001</v>
      </c>
      <c r="C17" s="70" t="inlineStr">
        <is>
          <t>—</t>
        </is>
      </c>
      <c r="D17" s="70" t="inlineStr">
        <is>
          <t>—</t>
        </is>
      </c>
      <c r="E17" s="70" t="inlineStr">
        <is>
          <t>—</t>
        </is>
      </c>
      <c r="F17" s="70" t="inlineStr">
        <is>
          <t>—</t>
        </is>
      </c>
      <c r="G17" s="67" t="n">
        <v>0.797</v>
      </c>
      <c r="H17" s="70" t="inlineStr">
        <is>
          <t>—</t>
        </is>
      </c>
      <c r="I17" s="69" t="n">
        <v>0.677</v>
      </c>
    </row>
    <row r="18" ht="22" customHeight="1">
      <c r="A18" s="34" t="n">
        <v>2017</v>
      </c>
      <c r="B18" s="70" t="inlineStr">
        <is>
          <t>—</t>
        </is>
      </c>
      <c r="C18" s="70" t="inlineStr">
        <is>
          <t>—</t>
        </is>
      </c>
      <c r="D18" s="67" t="n">
        <v>0.762</v>
      </c>
      <c r="E18" s="67" t="n">
        <v>0.6879999999999999</v>
      </c>
      <c r="F18" s="67" t="n">
        <v>0.746</v>
      </c>
      <c r="G18" s="70" t="inlineStr">
        <is>
          <t>—</t>
        </is>
      </c>
      <c r="H18" s="70" t="inlineStr">
        <is>
          <t>—</t>
        </is>
      </c>
      <c r="I18" s="69" t="n">
        <v>0.732</v>
      </c>
    </row>
    <row r="19" ht="22" customHeight="1">
      <c r="A19" s="34" t="n">
        <v>2019</v>
      </c>
      <c r="B19" s="70" t="inlineStr">
        <is>
          <t>—</t>
        </is>
      </c>
      <c r="C19" s="67" t="n">
        <v>0.674</v>
      </c>
      <c r="D19" s="70" t="inlineStr">
        <is>
          <t>—</t>
        </is>
      </c>
      <c r="E19" s="67" t="n">
        <v>0.6729999999999999</v>
      </c>
      <c r="F19" s="70" t="inlineStr">
        <is>
          <t>—</t>
        </is>
      </c>
      <c r="G19" s="70" t="inlineStr">
        <is>
          <t>—</t>
        </is>
      </c>
      <c r="H19" s="68" t="n">
        <v>0.919</v>
      </c>
      <c r="I19" s="69" t="n">
        <v>0.755</v>
      </c>
    </row>
    <row r="20" ht="22" customHeight="1">
      <c r="A20" s="34" t="n">
        <v>2021</v>
      </c>
      <c r="B20" s="70" t="inlineStr">
        <is>
          <t>—</t>
        </is>
      </c>
      <c r="C20" s="70" t="inlineStr">
        <is>
          <t>—</t>
        </is>
      </c>
      <c r="D20" s="67" t="n">
        <v>0.7659999999999999</v>
      </c>
      <c r="E20" s="70" t="inlineStr">
        <is>
          <t>—</t>
        </is>
      </c>
      <c r="F20" s="70" t="inlineStr">
        <is>
          <t>—</t>
        </is>
      </c>
      <c r="G20" s="70" t="inlineStr">
        <is>
          <t>—</t>
        </is>
      </c>
      <c r="H20" s="70" t="inlineStr">
        <is>
          <t>—</t>
        </is>
      </c>
      <c r="I20" s="69" t="n">
        <v>0.7659999999999999</v>
      </c>
    </row>
    <row r="21" ht="22" customHeight="1">
      <c r="A21" s="34" t="n">
        <v>2022</v>
      </c>
      <c r="B21" s="70" t="inlineStr">
        <is>
          <t>—</t>
        </is>
      </c>
      <c r="C21" s="70" t="inlineStr">
        <is>
          <t>—</t>
        </is>
      </c>
      <c r="D21" s="70" t="inlineStr">
        <is>
          <t>—</t>
        </is>
      </c>
      <c r="E21" s="70" t="inlineStr">
        <is>
          <t>—</t>
        </is>
      </c>
      <c r="F21" s="67" t="n">
        <v>0.737</v>
      </c>
      <c r="G21" s="67" t="n">
        <v>0.789</v>
      </c>
      <c r="H21" s="70" t="inlineStr">
        <is>
          <t>—</t>
        </is>
      </c>
      <c r="I21" s="69" t="n">
        <v>0.763</v>
      </c>
    </row>
    <row r="22" ht="22" customHeight="1">
      <c r="A22" s="34" t="n">
        <v>2023</v>
      </c>
      <c r="B22" s="70" t="inlineStr">
        <is>
          <t>—</t>
        </is>
      </c>
      <c r="C22" s="70" t="inlineStr">
        <is>
          <t>—</t>
        </is>
      </c>
      <c r="D22" s="70" t="inlineStr">
        <is>
          <t>—</t>
        </is>
      </c>
      <c r="E22" s="70" t="inlineStr">
        <is>
          <t>—</t>
        </is>
      </c>
      <c r="F22" s="70" t="inlineStr">
        <is>
          <t>—</t>
        </is>
      </c>
      <c r="G22" s="70" t="inlineStr">
        <is>
          <t>—</t>
        </is>
      </c>
      <c r="H22" s="68" t="n">
        <v>0.897</v>
      </c>
      <c r="I22" s="69" t="n">
        <v>0.897</v>
      </c>
    </row>
    <row r="23" ht="22" customHeight="1">
      <c r="A23" s="34" t="n">
        <v>2024</v>
      </c>
      <c r="B23" s="66" t="n">
        <v>0.639</v>
      </c>
      <c r="C23" s="67" t="n">
        <v>0.6559999999999999</v>
      </c>
      <c r="D23" s="70" t="inlineStr">
        <is>
          <t>—</t>
        </is>
      </c>
      <c r="E23" s="66" t="n">
        <v>0.597</v>
      </c>
      <c r="F23" s="70" t="inlineStr">
        <is>
          <t>—</t>
        </is>
      </c>
      <c r="G23" s="70" t="inlineStr">
        <is>
          <t>—</t>
        </is>
      </c>
      <c r="H23" s="70" t="inlineStr">
        <is>
          <t>—</t>
        </is>
      </c>
      <c r="I23" s="69" t="n">
        <v>0.631</v>
      </c>
    </row>
    <row r="25" ht="12" customHeight="1"/>
    <row r="26">
      <c r="A26" s="71" t="inlineStr">
        <is>
          <t>NOTES</t>
        </is>
      </c>
    </row>
    <row r="27" ht="18" customHeight="1">
      <c r="A27" s="72" t="inlineStr">
        <is>
          <t>• '—' indicates no national election was held that year</t>
        </is>
      </c>
    </row>
    <row r="28" ht="18" customHeight="1">
      <c r="A28" s="72" t="inlineStr">
        <is>
          <t>• Australia: Compulsory voting accounts for high consistent turnout</t>
        </is>
      </c>
    </row>
    <row r="29" ht="18" customHeight="1">
      <c r="A29" s="72" t="inlineStr">
        <is>
          <t>• Brazil: Also has compulsory voting, turnout above 75% consistently</t>
        </is>
      </c>
    </row>
    <row r="30" ht="18" customHeight="1">
      <c r="A30" s="72" t="inlineStr">
        <is>
          <t>• USA: 2020 saw record 66.8% turnout due to expanded mail voting</t>
        </is>
      </c>
    </row>
    <row r="31" ht="18" customHeight="1">
      <c r="A31" s="72" t="inlineStr">
        <is>
          <t>• Germany: 2009 marked historic low at 70.8%, up to 76.6% in 2021</t>
        </is>
      </c>
    </row>
    <row r="32" ht="18" customHeight="1">
      <c r="A32" s="72" t="inlineStr">
        <is>
          <t>• Turnout figures are approximate and may vary by source</t>
        </is>
      </c>
    </row>
  </sheetData>
  <mergeCells count="8">
    <mergeCell ref="A1:J1"/>
    <mergeCell ref="A32:J32"/>
    <mergeCell ref="A31:J31"/>
    <mergeCell ref="A27:J27"/>
    <mergeCell ref="A30:J30"/>
    <mergeCell ref="A29:J29"/>
    <mergeCell ref="A2:J2"/>
    <mergeCell ref="A28:J28"/>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I98"/>
  <sheetViews>
    <sheetView showGridLines="0" workbookViewId="0">
      <selection activeCell="A1" sqref="A1"/>
    </sheetView>
  </sheetViews>
  <sheetFormatPr baseColWidth="8" defaultRowHeight="15"/>
  <cols>
    <col width="28" customWidth="1" min="1" max="1"/>
    <col width="65"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ht="36" customHeight="1">
      <c r="A1" s="73" t="inlineStr">
        <is>
          <t>Electoral Country Profiles</t>
        </is>
      </c>
    </row>
    <row r="2" ht="20" customHeight="1">
      <c r="A2" s="14" t="inlineStr">
        <is>
          <t>Detailed electoral system profiles for 6 major democracies</t>
        </is>
      </c>
    </row>
    <row r="4" ht="30" customHeight="1">
      <c r="A4" s="74" t="inlineStr">
        <is>
          <t>🇺🇸 United States of America</t>
        </is>
      </c>
    </row>
    <row r="5" ht="28" customHeight="1">
      <c r="A5" s="75" t="inlineStr">
        <is>
          <t>Attribute</t>
        </is>
      </c>
      <c r="B5" s="75" t="inlineStr">
        <is>
          <t>Value / Description</t>
        </is>
      </c>
      <c r="C5" s="5" t="n"/>
      <c r="D5" s="5" t="n"/>
      <c r="E5" s="5" t="n"/>
      <c r="F5" s="5" t="n"/>
      <c r="G5" s="5" t="n"/>
      <c r="H5" s="5" t="n"/>
      <c r="I5" s="6" t="n"/>
    </row>
    <row r="6" ht="22" customHeight="1">
      <c r="A6" s="76" t="inlineStr">
        <is>
          <t>Government Type</t>
        </is>
      </c>
      <c r="B6" s="17" t="inlineStr">
        <is>
          <t>Federal Presidential Constitutional Republic</t>
        </is>
      </c>
      <c r="C6" s="5" t="n"/>
      <c r="D6" s="5" t="n"/>
      <c r="E6" s="5" t="n"/>
      <c r="F6" s="5" t="n"/>
      <c r="G6" s="5" t="n"/>
      <c r="H6" s="5" t="n"/>
      <c r="I6" s="6" t="n"/>
    </row>
    <row r="7" ht="22" customHeight="1">
      <c r="A7" s="77" t="inlineStr">
        <is>
          <t>Electoral System</t>
        </is>
      </c>
      <c r="B7" s="78" t="inlineStr">
        <is>
          <t>First-Past-The-Post (FPTP) for Congress; Electoral College for President</t>
        </is>
      </c>
      <c r="C7" s="5" t="n"/>
      <c r="D7" s="5" t="n"/>
      <c r="E7" s="5" t="n"/>
      <c r="F7" s="5" t="n"/>
      <c r="G7" s="5" t="n"/>
      <c r="H7" s="5" t="n"/>
      <c r="I7" s="6" t="n"/>
    </row>
    <row r="8" ht="22" customHeight="1">
      <c r="A8" s="76" t="inlineStr">
        <is>
          <t>Legislature</t>
        </is>
      </c>
      <c r="B8" s="17" t="inlineStr">
        <is>
          <t>Bicameral — Senate (100) + House of Representatives (435)</t>
        </is>
      </c>
      <c r="C8" s="5" t="n"/>
      <c r="D8" s="5" t="n"/>
      <c r="E8" s="5" t="n"/>
      <c r="F8" s="5" t="n"/>
      <c r="G8" s="5" t="n"/>
      <c r="H8" s="5" t="n"/>
      <c r="I8" s="6" t="n"/>
    </row>
    <row r="9" ht="22" customHeight="1">
      <c r="A9" s="77" t="inlineStr">
        <is>
          <t>Executive</t>
        </is>
      </c>
      <c r="B9" s="78" t="inlineStr">
        <is>
          <t>President elected every 4 years; max 2 terms (22nd Amendment)</t>
        </is>
      </c>
      <c r="C9" s="5" t="n"/>
      <c r="D9" s="5" t="n"/>
      <c r="E9" s="5" t="n"/>
      <c r="F9" s="5" t="n"/>
      <c r="G9" s="5" t="n"/>
      <c r="H9" s="5" t="n"/>
      <c r="I9" s="6" t="n"/>
    </row>
    <row r="10" ht="22" customHeight="1">
      <c r="A10" s="76" t="inlineStr">
        <is>
          <t>Voting Age</t>
        </is>
      </c>
      <c r="B10" s="17" t="inlineStr">
        <is>
          <t>18 (26th Amendment, 1971)</t>
        </is>
      </c>
      <c r="C10" s="5" t="n"/>
      <c r="D10" s="5" t="n"/>
      <c r="E10" s="5" t="n"/>
      <c r="F10" s="5" t="n"/>
      <c r="G10" s="5" t="n"/>
      <c r="H10" s="5" t="n"/>
      <c r="I10" s="6" t="n"/>
    </row>
    <row r="11" ht="22" customHeight="1">
      <c r="A11" s="77" t="inlineStr">
        <is>
          <t>Voter Registration</t>
        </is>
      </c>
      <c r="B11" s="78" t="inlineStr">
        <is>
          <t>Self-registration required; deadlines vary by state (2–30 days)</t>
        </is>
      </c>
      <c r="C11" s="5" t="n"/>
      <c r="D11" s="5" t="n"/>
      <c r="E11" s="5" t="n"/>
      <c r="F11" s="5" t="n"/>
      <c r="G11" s="5" t="n"/>
      <c r="H11" s="5" t="n"/>
      <c r="I11" s="6" t="n"/>
    </row>
    <row r="12" ht="22" customHeight="1">
      <c r="A12" s="76" t="inlineStr">
        <is>
          <t>Election Day</t>
        </is>
      </c>
      <c r="B12" s="17" t="inlineStr">
        <is>
          <t>First Tuesday after November 1st</t>
        </is>
      </c>
      <c r="C12" s="5" t="n"/>
      <c r="D12" s="5" t="n"/>
      <c r="E12" s="5" t="n"/>
      <c r="F12" s="5" t="n"/>
      <c r="G12" s="5" t="n"/>
      <c r="H12" s="5" t="n"/>
      <c r="I12" s="6" t="n"/>
    </row>
    <row r="13" ht="22" customHeight="1">
      <c r="A13" s="77" t="inlineStr">
        <is>
          <t>Compulsory Voting</t>
        </is>
      </c>
      <c r="B13" s="78" t="inlineStr">
        <is>
          <t>No</t>
        </is>
      </c>
      <c r="C13" s="5" t="n"/>
      <c r="D13" s="5" t="n"/>
      <c r="E13" s="5" t="n"/>
      <c r="F13" s="5" t="n"/>
      <c r="G13" s="5" t="n"/>
      <c r="H13" s="5" t="n"/>
      <c r="I13" s="6" t="n"/>
    </row>
    <row r="14" ht="22" customHeight="1">
      <c r="A14" s="76" t="inlineStr">
        <is>
          <t>Campaign Finance</t>
        </is>
      </c>
      <c r="B14" s="17" t="inlineStr">
        <is>
          <t>Federal Election Commission (FEC) regulates; PACs and Super PACs allowed</t>
        </is>
      </c>
      <c r="C14" s="5" t="n"/>
      <c r="D14" s="5" t="n"/>
      <c r="E14" s="5" t="n"/>
      <c r="F14" s="5" t="n"/>
      <c r="G14" s="5" t="n"/>
      <c r="H14" s="5" t="n"/>
      <c r="I14" s="6" t="n"/>
    </row>
    <row r="15" ht="22" customHeight="1">
      <c r="A15" s="77" t="inlineStr">
        <is>
          <t>Electoral College</t>
        </is>
      </c>
      <c r="B15" s="78" t="inlineStr">
        <is>
          <t>538 electors; 270 needed to win; winner-take-all in 48 states</t>
        </is>
      </c>
      <c r="C15" s="5" t="n"/>
      <c r="D15" s="5" t="n"/>
      <c r="E15" s="5" t="n"/>
      <c r="F15" s="5" t="n"/>
      <c r="G15" s="5" t="n"/>
      <c r="H15" s="5" t="n"/>
      <c r="I15" s="6" t="n"/>
    </row>
    <row r="16" ht="22" customHeight="1">
      <c r="A16" s="76" t="inlineStr">
        <is>
          <t>Gerrymandering</t>
        </is>
      </c>
      <c r="B16" s="17" t="inlineStr">
        <is>
          <t>A significant issue; district boundaries redrawn every 10 years</t>
        </is>
      </c>
      <c r="C16" s="5" t="n"/>
      <c r="D16" s="5" t="n"/>
      <c r="E16" s="5" t="n"/>
      <c r="F16" s="5" t="n"/>
      <c r="G16" s="5" t="n"/>
      <c r="H16" s="5" t="n"/>
      <c r="I16" s="6" t="n"/>
    </row>
    <row r="17" ht="22" customHeight="1">
      <c r="A17" s="77" t="inlineStr">
        <is>
          <t>Voter Turnout (2024)</t>
        </is>
      </c>
      <c r="B17" s="78" t="inlineStr">
        <is>
          <t>~63.9%</t>
        </is>
      </c>
      <c r="C17" s="5" t="n"/>
      <c r="D17" s="5" t="n"/>
      <c r="E17" s="5" t="n"/>
      <c r="F17" s="5" t="n"/>
      <c r="G17" s="5" t="n"/>
      <c r="H17" s="5" t="n"/>
      <c r="I17" s="6" t="n"/>
    </row>
    <row r="18" ht="22" customHeight="1">
      <c r="A18" s="76" t="inlineStr">
        <is>
          <t>Key Milestone</t>
        </is>
      </c>
      <c r="B18" s="17" t="inlineStr">
        <is>
          <t>Voting Rights Act 1965 prohibited racial discrimination in voting</t>
        </is>
      </c>
      <c r="C18" s="5" t="n"/>
      <c r="D18" s="5" t="n"/>
      <c r="E18" s="5" t="n"/>
      <c r="F18" s="5" t="n"/>
      <c r="G18" s="5" t="n"/>
      <c r="H18" s="5" t="n"/>
      <c r="I18" s="6" t="n"/>
    </row>
    <row r="20" ht="30" customHeight="1">
      <c r="A20" s="79" t="inlineStr">
        <is>
          <t>🇮🇳 Republic of India</t>
        </is>
      </c>
    </row>
    <row r="21" ht="28" customHeight="1">
      <c r="A21" s="75" t="inlineStr">
        <is>
          <t>Attribute</t>
        </is>
      </c>
      <c r="B21" s="75" t="inlineStr">
        <is>
          <t>Value / Description</t>
        </is>
      </c>
      <c r="C21" s="5" t="n"/>
      <c r="D21" s="5" t="n"/>
      <c r="E21" s="5" t="n"/>
      <c r="F21" s="5" t="n"/>
      <c r="G21" s="5" t="n"/>
      <c r="H21" s="5" t="n"/>
      <c r="I21" s="6" t="n"/>
    </row>
    <row r="22" ht="22" customHeight="1">
      <c r="A22" s="76" t="inlineStr">
        <is>
          <t>Government Type</t>
        </is>
      </c>
      <c r="B22" s="17" t="inlineStr">
        <is>
          <t>Federal Parliamentary Constitutional Republic</t>
        </is>
      </c>
      <c r="C22" s="5" t="n"/>
      <c r="D22" s="5" t="n"/>
      <c r="E22" s="5" t="n"/>
      <c r="F22" s="5" t="n"/>
      <c r="G22" s="5" t="n"/>
      <c r="H22" s="5" t="n"/>
      <c r="I22" s="6" t="n"/>
    </row>
    <row r="23" ht="22" customHeight="1">
      <c r="A23" s="77" t="inlineStr">
        <is>
          <t>Electoral System</t>
        </is>
      </c>
      <c r="B23" s="78" t="inlineStr">
        <is>
          <t>First-Past-The-Post (FPTP) for Lok Sabha (Lower House)</t>
        </is>
      </c>
      <c r="C23" s="5" t="n"/>
      <c r="D23" s="5" t="n"/>
      <c r="E23" s="5" t="n"/>
      <c r="F23" s="5" t="n"/>
      <c r="G23" s="5" t="n"/>
      <c r="H23" s="5" t="n"/>
      <c r="I23" s="6" t="n"/>
    </row>
    <row r="24" ht="22" customHeight="1">
      <c r="A24" s="76" t="inlineStr">
        <is>
          <t>Legislature</t>
        </is>
      </c>
      <c r="B24" s="17" t="inlineStr">
        <is>
          <t>Bicameral — Lok Sabha (543 elected) + Rajya Sabha (245)</t>
        </is>
      </c>
      <c r="C24" s="5" t="n"/>
      <c r="D24" s="5" t="n"/>
      <c r="E24" s="5" t="n"/>
      <c r="F24" s="5" t="n"/>
      <c r="G24" s="5" t="n"/>
      <c r="H24" s="5" t="n"/>
      <c r="I24" s="6" t="n"/>
    </row>
    <row r="25" ht="22" customHeight="1">
      <c r="A25" s="77" t="inlineStr">
        <is>
          <t>Executive</t>
        </is>
      </c>
      <c r="B25" s="78" t="inlineStr">
        <is>
          <t>Prime Minister (leader of majority party/coalition in Lok Sabha)</t>
        </is>
      </c>
      <c r="C25" s="5" t="n"/>
      <c r="D25" s="5" t="n"/>
      <c r="E25" s="5" t="n"/>
      <c r="F25" s="5" t="n"/>
      <c r="G25" s="5" t="n"/>
      <c r="H25" s="5" t="n"/>
      <c r="I25" s="6" t="n"/>
    </row>
    <row r="26" ht="22" customHeight="1">
      <c r="A26" s="76" t="inlineStr">
        <is>
          <t>Voting Age</t>
        </is>
      </c>
      <c r="B26" s="17" t="inlineStr">
        <is>
          <t>18 (61st Amendment, 1988)</t>
        </is>
      </c>
      <c r="C26" s="5" t="n"/>
      <c r="D26" s="5" t="n"/>
      <c r="E26" s="5" t="n"/>
      <c r="F26" s="5" t="n"/>
      <c r="G26" s="5" t="n"/>
      <c r="H26" s="5" t="n"/>
      <c r="I26" s="6" t="n"/>
    </row>
    <row r="27" ht="22" customHeight="1">
      <c r="A27" s="77" t="inlineStr">
        <is>
          <t>Voter Registration</t>
        </is>
      </c>
      <c r="B27" s="78" t="inlineStr">
        <is>
          <t>Automatic via Electoral Rolls; Voter ID (EPIC) issued by ECI</t>
        </is>
      </c>
      <c r="C27" s="5" t="n"/>
      <c r="D27" s="5" t="n"/>
      <c r="E27" s="5" t="n"/>
      <c r="F27" s="5" t="n"/>
      <c r="G27" s="5" t="n"/>
      <c r="H27" s="5" t="n"/>
      <c r="I27" s="6" t="n"/>
    </row>
    <row r="28" ht="22" customHeight="1">
      <c r="A28" s="76" t="inlineStr">
        <is>
          <t>Election Day</t>
        </is>
      </c>
      <c r="B28" s="17" t="inlineStr">
        <is>
          <t>Multi-phase (April–May typically); varies by state</t>
        </is>
      </c>
      <c r="C28" s="5" t="n"/>
      <c r="D28" s="5" t="n"/>
      <c r="E28" s="5" t="n"/>
      <c r="F28" s="5" t="n"/>
      <c r="G28" s="5" t="n"/>
      <c r="H28" s="5" t="n"/>
      <c r="I28" s="6" t="n"/>
    </row>
    <row r="29" ht="22" customHeight="1">
      <c r="A29" s="77" t="inlineStr">
        <is>
          <t>Compulsory Voting</t>
        </is>
      </c>
      <c r="B29" s="78" t="inlineStr">
        <is>
          <t>No</t>
        </is>
      </c>
      <c r="C29" s="5" t="n"/>
      <c r="D29" s="5" t="n"/>
      <c r="E29" s="5" t="n"/>
      <c r="F29" s="5" t="n"/>
      <c r="G29" s="5" t="n"/>
      <c r="H29" s="5" t="n"/>
      <c r="I29" s="6" t="n"/>
    </row>
    <row r="30" ht="22" customHeight="1">
      <c r="A30" s="76" t="inlineStr">
        <is>
          <t>Voting Technology</t>
        </is>
      </c>
      <c r="B30" s="17" t="inlineStr">
        <is>
          <t>Electronic Voting Machines (EVMs) with VVPAT paper trail since 2000s</t>
        </is>
      </c>
      <c r="C30" s="5" t="n"/>
      <c r="D30" s="5" t="n"/>
      <c r="E30" s="5" t="n"/>
      <c r="F30" s="5" t="n"/>
      <c r="G30" s="5" t="n"/>
      <c r="H30" s="5" t="n"/>
      <c r="I30" s="6" t="n"/>
    </row>
    <row r="31" ht="22" customHeight="1">
      <c r="A31" s="77" t="inlineStr">
        <is>
          <t>Election Body</t>
        </is>
      </c>
      <c r="B31" s="78" t="inlineStr">
        <is>
          <t>Election Commission of India — independent, powerful constitutional body</t>
        </is>
      </c>
      <c r="C31" s="5" t="n"/>
      <c r="D31" s="5" t="n"/>
      <c r="E31" s="5" t="n"/>
      <c r="F31" s="5" t="n"/>
      <c r="G31" s="5" t="n"/>
      <c r="H31" s="5" t="n"/>
      <c r="I31" s="6" t="n"/>
    </row>
    <row r="32" ht="22" customHeight="1">
      <c r="A32" s="76" t="inlineStr">
        <is>
          <t>Electorate Size</t>
        </is>
      </c>
      <c r="B32" s="17" t="inlineStr">
        <is>
          <t>~969 million eligible voters (world's largest democracy)</t>
        </is>
      </c>
      <c r="C32" s="5" t="n"/>
      <c r="D32" s="5" t="n"/>
      <c r="E32" s="5" t="n"/>
      <c r="F32" s="5" t="n"/>
      <c r="G32" s="5" t="n"/>
      <c r="H32" s="5" t="n"/>
      <c r="I32" s="6" t="n"/>
    </row>
    <row r="33" ht="22" customHeight="1">
      <c r="A33" s="77" t="inlineStr">
        <is>
          <t>Voter Turnout (2024)</t>
        </is>
      </c>
      <c r="B33" s="78" t="inlineStr">
        <is>
          <t>~65.6% (Lok Sabha)</t>
        </is>
      </c>
      <c r="C33" s="5" t="n"/>
      <c r="D33" s="5" t="n"/>
      <c r="E33" s="5" t="n"/>
      <c r="F33" s="5" t="n"/>
      <c r="G33" s="5" t="n"/>
      <c r="H33" s="5" t="n"/>
      <c r="I33" s="6" t="n"/>
    </row>
    <row r="34" ht="22" customHeight="1">
      <c r="A34" s="76" t="inlineStr">
        <is>
          <t>Key Milestone</t>
        </is>
      </c>
      <c r="B34" s="17" t="inlineStr">
        <is>
          <t>India's first general election in 1951–52 was the world's largest democratic exercise</t>
        </is>
      </c>
      <c r="C34" s="5" t="n"/>
      <c r="D34" s="5" t="n"/>
      <c r="E34" s="5" t="n"/>
      <c r="F34" s="5" t="n"/>
      <c r="G34" s="5" t="n"/>
      <c r="H34" s="5" t="n"/>
      <c r="I34" s="6" t="n"/>
    </row>
    <row r="36" ht="30" customHeight="1">
      <c r="A36" s="80" t="inlineStr">
        <is>
          <t>🇩🇪 Federal Republic of Germany</t>
        </is>
      </c>
    </row>
    <row r="37" ht="28" customHeight="1">
      <c r="A37" s="75" t="inlineStr">
        <is>
          <t>Attribute</t>
        </is>
      </c>
      <c r="B37" s="75" t="inlineStr">
        <is>
          <t>Value / Description</t>
        </is>
      </c>
      <c r="C37" s="5" t="n"/>
      <c r="D37" s="5" t="n"/>
      <c r="E37" s="5" t="n"/>
      <c r="F37" s="5" t="n"/>
      <c r="G37" s="5" t="n"/>
      <c r="H37" s="5" t="n"/>
      <c r="I37" s="6" t="n"/>
    </row>
    <row r="38" ht="22" customHeight="1">
      <c r="A38" s="76" t="inlineStr">
        <is>
          <t>Government Type</t>
        </is>
      </c>
      <c r="B38" s="17" t="inlineStr">
        <is>
          <t>Federal Parliamentary Constitutional Republic</t>
        </is>
      </c>
      <c r="C38" s="5" t="n"/>
      <c r="D38" s="5" t="n"/>
      <c r="E38" s="5" t="n"/>
      <c r="F38" s="5" t="n"/>
      <c r="G38" s="5" t="n"/>
      <c r="H38" s="5" t="n"/>
      <c r="I38" s="6" t="n"/>
    </row>
    <row r="39" ht="22" customHeight="1">
      <c r="A39" s="77" t="inlineStr">
        <is>
          <t>Electoral System</t>
        </is>
      </c>
      <c r="B39" s="78" t="inlineStr">
        <is>
          <t>Mixed-Member Proportional (MMP) — 2 votes per voter</t>
        </is>
      </c>
      <c r="C39" s="5" t="n"/>
      <c r="D39" s="5" t="n"/>
      <c r="E39" s="5" t="n"/>
      <c r="F39" s="5" t="n"/>
      <c r="G39" s="5" t="n"/>
      <c r="H39" s="5" t="n"/>
      <c r="I39" s="6" t="n"/>
    </row>
    <row r="40" ht="22" customHeight="1">
      <c r="A40" s="76" t="inlineStr">
        <is>
          <t>Legislature</t>
        </is>
      </c>
      <c r="B40" s="17" t="inlineStr">
        <is>
          <t>Bicameral — Bundestag (lower, ~736 seats) + Bundesrat (upper, 69)</t>
        </is>
      </c>
      <c r="C40" s="5" t="n"/>
      <c r="D40" s="5" t="n"/>
      <c r="E40" s="5" t="n"/>
      <c r="F40" s="5" t="n"/>
      <c r="G40" s="5" t="n"/>
      <c r="H40" s="5" t="n"/>
      <c r="I40" s="6" t="n"/>
    </row>
    <row r="41" ht="22" customHeight="1">
      <c r="A41" s="77" t="inlineStr">
        <is>
          <t>Executive</t>
        </is>
      </c>
      <c r="B41" s="78" t="inlineStr">
        <is>
          <t>Chancellor elected by Bundestag; typically leads coalition government</t>
        </is>
      </c>
      <c r="C41" s="5" t="n"/>
      <c r="D41" s="5" t="n"/>
      <c r="E41" s="5" t="n"/>
      <c r="F41" s="5" t="n"/>
      <c r="G41" s="5" t="n"/>
      <c r="H41" s="5" t="n"/>
      <c r="I41" s="6" t="n"/>
    </row>
    <row r="42" ht="22" customHeight="1">
      <c r="A42" s="76" t="inlineStr">
        <is>
          <t>Voting Age</t>
        </is>
      </c>
      <c r="B42" s="17" t="inlineStr">
        <is>
          <t>18 (16 in some state/local elections)</t>
        </is>
      </c>
      <c r="C42" s="5" t="n"/>
      <c r="D42" s="5" t="n"/>
      <c r="E42" s="5" t="n"/>
      <c r="F42" s="5" t="n"/>
      <c r="G42" s="5" t="n"/>
      <c r="H42" s="5" t="n"/>
      <c r="I42" s="6" t="n"/>
    </row>
    <row r="43" ht="22" customHeight="1">
      <c r="A43" s="77" t="inlineStr">
        <is>
          <t>Voter Registration</t>
        </is>
      </c>
      <c r="B43" s="78" t="inlineStr">
        <is>
          <t>Automatic via population registry (Einwohnermeldeamt)</t>
        </is>
      </c>
      <c r="C43" s="5" t="n"/>
      <c r="D43" s="5" t="n"/>
      <c r="E43" s="5" t="n"/>
      <c r="F43" s="5" t="n"/>
      <c r="G43" s="5" t="n"/>
      <c r="H43" s="5" t="n"/>
      <c r="I43" s="6" t="n"/>
    </row>
    <row r="44" ht="22" customHeight="1">
      <c r="A44" s="76" t="inlineStr">
        <is>
          <t>Election Day</t>
        </is>
      </c>
      <c r="B44" s="17" t="inlineStr">
        <is>
          <t>Sunday in September/October; polls 8am–6pm</t>
        </is>
      </c>
      <c r="C44" s="5" t="n"/>
      <c r="D44" s="5" t="n"/>
      <c r="E44" s="5" t="n"/>
      <c r="F44" s="5" t="n"/>
      <c r="G44" s="5" t="n"/>
      <c r="H44" s="5" t="n"/>
      <c r="I44" s="6" t="n"/>
    </row>
    <row r="45" ht="22" customHeight="1">
      <c r="A45" s="77" t="inlineStr">
        <is>
          <t>Compulsory Voting</t>
        </is>
      </c>
      <c r="B45" s="78" t="inlineStr">
        <is>
          <t>No</t>
        </is>
      </c>
      <c r="C45" s="5" t="n"/>
      <c r="D45" s="5" t="n"/>
      <c r="E45" s="5" t="n"/>
      <c r="F45" s="5" t="n"/>
      <c r="G45" s="5" t="n"/>
      <c r="H45" s="5" t="n"/>
      <c r="I45" s="6" t="n"/>
    </row>
    <row r="46" ht="22" customHeight="1">
      <c r="A46" s="76" t="inlineStr">
        <is>
          <t>Party Threshold</t>
        </is>
      </c>
      <c r="B46" s="17" t="inlineStr">
        <is>
          <t>5% national vote or 3 direct constituency seats to enter Bundestag</t>
        </is>
      </c>
      <c r="C46" s="5" t="n"/>
      <c r="D46" s="5" t="n"/>
      <c r="E46" s="5" t="n"/>
      <c r="F46" s="5" t="n"/>
      <c r="G46" s="5" t="n"/>
      <c r="H46" s="5" t="n"/>
      <c r="I46" s="6" t="n"/>
    </row>
    <row r="47" ht="22" customHeight="1">
      <c r="A47" s="77" t="inlineStr">
        <is>
          <t>Postal Voting</t>
        </is>
      </c>
      <c r="B47" s="78" t="inlineStr">
        <is>
          <t>Briefwahl: ~40% of votes cast by post in recent elections</t>
        </is>
      </c>
      <c r="C47" s="5" t="n"/>
      <c r="D47" s="5" t="n"/>
      <c r="E47" s="5" t="n"/>
      <c r="F47" s="5" t="n"/>
      <c r="G47" s="5" t="n"/>
      <c r="H47" s="5" t="n"/>
      <c r="I47" s="6" t="n"/>
    </row>
    <row r="48" ht="22" customHeight="1">
      <c r="A48" s="76" t="inlineStr">
        <is>
          <t>Coalition Culture</t>
        </is>
      </c>
      <c r="B48" s="17" t="inlineStr">
        <is>
          <t>Coalition governments the norm; single-party majority is rare</t>
        </is>
      </c>
      <c r="C48" s="5" t="n"/>
      <c r="D48" s="5" t="n"/>
      <c r="E48" s="5" t="n"/>
      <c r="F48" s="5" t="n"/>
      <c r="G48" s="5" t="n"/>
      <c r="H48" s="5" t="n"/>
      <c r="I48" s="6" t="n"/>
    </row>
    <row r="49" ht="22" customHeight="1">
      <c r="A49" s="77" t="inlineStr">
        <is>
          <t>Voter Turnout (2021)</t>
        </is>
      </c>
      <c r="B49" s="78" t="inlineStr">
        <is>
          <t>76.6%</t>
        </is>
      </c>
      <c r="C49" s="5" t="n"/>
      <c r="D49" s="5" t="n"/>
      <c r="E49" s="5" t="n"/>
      <c r="F49" s="5" t="n"/>
      <c r="G49" s="5" t="n"/>
      <c r="H49" s="5" t="n"/>
      <c r="I49" s="6" t="n"/>
    </row>
    <row r="50" ht="22" customHeight="1">
      <c r="A50" s="76" t="inlineStr">
        <is>
          <t>Key Milestone</t>
        </is>
      </c>
      <c r="B50" s="17" t="inlineStr">
        <is>
          <t>1949 Basic Law (Grundgesetz) established post-war democratic framework</t>
        </is>
      </c>
      <c r="C50" s="5" t="n"/>
      <c r="D50" s="5" t="n"/>
      <c r="E50" s="5" t="n"/>
      <c r="F50" s="5" t="n"/>
      <c r="G50" s="5" t="n"/>
      <c r="H50" s="5" t="n"/>
      <c r="I50" s="6" t="n"/>
    </row>
    <row r="52" ht="30" customHeight="1">
      <c r="A52" s="81" t="inlineStr">
        <is>
          <t>🇬🇧 United Kingdom</t>
        </is>
      </c>
    </row>
    <row r="53" ht="28" customHeight="1">
      <c r="A53" s="75" t="inlineStr">
        <is>
          <t>Attribute</t>
        </is>
      </c>
      <c r="B53" s="75" t="inlineStr">
        <is>
          <t>Value / Description</t>
        </is>
      </c>
      <c r="C53" s="5" t="n"/>
      <c r="D53" s="5" t="n"/>
      <c r="E53" s="5" t="n"/>
      <c r="F53" s="5" t="n"/>
      <c r="G53" s="5" t="n"/>
      <c r="H53" s="5" t="n"/>
      <c r="I53" s="6" t="n"/>
    </row>
    <row r="54" ht="22" customHeight="1">
      <c r="A54" s="76" t="inlineStr">
        <is>
          <t>Government Type</t>
        </is>
      </c>
      <c r="B54" s="17" t="inlineStr">
        <is>
          <t>Unitary Parliamentary Constitutional Monarchy</t>
        </is>
      </c>
      <c r="C54" s="5" t="n"/>
      <c r="D54" s="5" t="n"/>
      <c r="E54" s="5" t="n"/>
      <c r="F54" s="5" t="n"/>
      <c r="G54" s="5" t="n"/>
      <c r="H54" s="5" t="n"/>
      <c r="I54" s="6" t="n"/>
    </row>
    <row r="55" ht="22" customHeight="1">
      <c r="A55" s="77" t="inlineStr">
        <is>
          <t>Electoral System</t>
        </is>
      </c>
      <c r="B55" s="78" t="inlineStr">
        <is>
          <t>First-Past-The-Post (FPTP)</t>
        </is>
      </c>
      <c r="C55" s="5" t="n"/>
      <c r="D55" s="5" t="n"/>
      <c r="E55" s="5" t="n"/>
      <c r="F55" s="5" t="n"/>
      <c r="G55" s="5" t="n"/>
      <c r="H55" s="5" t="n"/>
      <c r="I55" s="6" t="n"/>
    </row>
    <row r="56" ht="22" customHeight="1">
      <c r="A56" s="76" t="inlineStr">
        <is>
          <t>Legislature</t>
        </is>
      </c>
      <c r="B56" s="17" t="inlineStr">
        <is>
          <t>Bicameral — House of Commons (650 elected) + House of Lords (unelected)</t>
        </is>
      </c>
      <c r="C56" s="5" t="n"/>
      <c r="D56" s="5" t="n"/>
      <c r="E56" s="5" t="n"/>
      <c r="F56" s="5" t="n"/>
      <c r="G56" s="5" t="n"/>
      <c r="H56" s="5" t="n"/>
      <c r="I56" s="6" t="n"/>
    </row>
    <row r="57" ht="22" customHeight="1">
      <c r="A57" s="77" t="inlineStr">
        <is>
          <t>Executive</t>
        </is>
      </c>
      <c r="B57" s="78" t="inlineStr">
        <is>
          <t>Prime Minister — leader of party commanding majority in Commons</t>
        </is>
      </c>
      <c r="C57" s="5" t="n"/>
      <c r="D57" s="5" t="n"/>
      <c r="E57" s="5" t="n"/>
      <c r="F57" s="5" t="n"/>
      <c r="G57" s="5" t="n"/>
      <c r="H57" s="5" t="n"/>
      <c r="I57" s="6" t="n"/>
    </row>
    <row r="58" ht="22" customHeight="1">
      <c r="A58" s="76" t="inlineStr">
        <is>
          <t>Voting Age</t>
        </is>
      </c>
      <c r="B58" s="17" t="inlineStr">
        <is>
          <t>18 (16 in Scotland for devolved elections)</t>
        </is>
      </c>
      <c r="C58" s="5" t="n"/>
      <c r="D58" s="5" t="n"/>
      <c r="E58" s="5" t="n"/>
      <c r="F58" s="5" t="n"/>
      <c r="G58" s="5" t="n"/>
      <c r="H58" s="5" t="n"/>
      <c r="I58" s="6" t="n"/>
    </row>
    <row r="59" ht="22" customHeight="1">
      <c r="A59" s="77" t="inlineStr">
        <is>
          <t>Voter Registration</t>
        </is>
      </c>
      <c r="B59" s="78" t="inlineStr">
        <is>
          <t>Individual Electoral Registration; deadline 12 days before election</t>
        </is>
      </c>
      <c r="C59" s="5" t="n"/>
      <c r="D59" s="5" t="n"/>
      <c r="E59" s="5" t="n"/>
      <c r="F59" s="5" t="n"/>
      <c r="G59" s="5" t="n"/>
      <c r="H59" s="5" t="n"/>
      <c r="I59" s="6" t="n"/>
    </row>
    <row r="60" ht="22" customHeight="1">
      <c r="A60" s="76" t="inlineStr">
        <is>
          <t>Election Day</t>
        </is>
      </c>
      <c r="B60" s="17" t="inlineStr">
        <is>
          <t>Thursday (conventional); polls 7am–10pm</t>
        </is>
      </c>
      <c r="C60" s="5" t="n"/>
      <c r="D60" s="5" t="n"/>
      <c r="E60" s="5" t="n"/>
      <c r="F60" s="5" t="n"/>
      <c r="G60" s="5" t="n"/>
      <c r="H60" s="5" t="n"/>
      <c r="I60" s="6" t="n"/>
    </row>
    <row r="61" ht="22" customHeight="1">
      <c r="A61" s="77" t="inlineStr">
        <is>
          <t>Compulsory Voting</t>
        </is>
      </c>
      <c r="B61" s="78" t="inlineStr">
        <is>
          <t>No</t>
        </is>
      </c>
      <c r="C61" s="5" t="n"/>
      <c r="D61" s="5" t="n"/>
      <c r="E61" s="5" t="n"/>
      <c r="F61" s="5" t="n"/>
      <c r="G61" s="5" t="n"/>
      <c r="H61" s="5" t="n"/>
      <c r="I61" s="6" t="n"/>
    </row>
    <row r="62" ht="22" customHeight="1">
      <c r="A62" s="76" t="inlineStr">
        <is>
          <t>Campaign Finance</t>
        </is>
      </c>
      <c r="B62" s="17" t="inlineStr">
        <is>
          <t>Electoral Commission enforces strict constituency and national limits</t>
        </is>
      </c>
      <c r="C62" s="5" t="n"/>
      <c r="D62" s="5" t="n"/>
      <c r="E62" s="5" t="n"/>
      <c r="F62" s="5" t="n"/>
      <c r="G62" s="5" t="n"/>
      <c r="H62" s="5" t="n"/>
      <c r="I62" s="6" t="n"/>
    </row>
    <row r="63" ht="22" customHeight="1">
      <c r="A63" s="77" t="inlineStr">
        <is>
          <t>Devolution</t>
        </is>
      </c>
      <c r="B63" s="78" t="inlineStr">
        <is>
          <t>Scottish Parliament, Welsh Senedd, Northern Ireland Assembly have own elections</t>
        </is>
      </c>
      <c r="C63" s="5" t="n"/>
      <c r="D63" s="5" t="n"/>
      <c r="E63" s="5" t="n"/>
      <c r="F63" s="5" t="n"/>
      <c r="G63" s="5" t="n"/>
      <c r="H63" s="5" t="n"/>
      <c r="I63" s="6" t="n"/>
    </row>
    <row r="64" ht="22" customHeight="1">
      <c r="A64" s="76" t="inlineStr">
        <is>
          <t>Hung Parliament</t>
        </is>
      </c>
      <c r="B64" s="17" t="inlineStr">
        <is>
          <t>2010 (Conservative-LibDem coalition), 2017 (minority government)</t>
        </is>
      </c>
      <c r="C64" s="5" t="n"/>
      <c r="D64" s="5" t="n"/>
      <c r="E64" s="5" t="n"/>
      <c r="F64" s="5" t="n"/>
      <c r="G64" s="5" t="n"/>
      <c r="H64" s="5" t="n"/>
      <c r="I64" s="6" t="n"/>
    </row>
    <row r="65" ht="22" customHeight="1">
      <c r="A65" s="77" t="inlineStr">
        <is>
          <t>Voter Turnout (2024)</t>
        </is>
      </c>
      <c r="B65" s="78" t="inlineStr">
        <is>
          <t>~59.7%</t>
        </is>
      </c>
      <c r="C65" s="5" t="n"/>
      <c r="D65" s="5" t="n"/>
      <c r="E65" s="5" t="n"/>
      <c r="F65" s="5" t="n"/>
      <c r="G65" s="5" t="n"/>
      <c r="H65" s="5" t="n"/>
      <c r="I65" s="6" t="n"/>
    </row>
    <row r="66" ht="22" customHeight="1">
      <c r="A66" s="76" t="inlineStr">
        <is>
          <t>Key Milestone</t>
        </is>
      </c>
      <c r="B66" s="17" t="inlineStr">
        <is>
          <t>Representation of the People Act 1918 gave women over 30 the vote</t>
        </is>
      </c>
      <c r="C66" s="5" t="n"/>
      <c r="D66" s="5" t="n"/>
      <c r="E66" s="5" t="n"/>
      <c r="F66" s="5" t="n"/>
      <c r="G66" s="5" t="n"/>
      <c r="H66" s="5" t="n"/>
      <c r="I66" s="6" t="n"/>
    </row>
    <row r="68" ht="30" customHeight="1">
      <c r="A68" s="82" t="inlineStr">
        <is>
          <t>🇫🇷 French Republic</t>
        </is>
      </c>
    </row>
    <row r="69" ht="28" customHeight="1">
      <c r="A69" s="75" t="inlineStr">
        <is>
          <t>Attribute</t>
        </is>
      </c>
      <c r="B69" s="75" t="inlineStr">
        <is>
          <t>Value / Description</t>
        </is>
      </c>
      <c r="C69" s="5" t="n"/>
      <c r="D69" s="5" t="n"/>
      <c r="E69" s="5" t="n"/>
      <c r="F69" s="5" t="n"/>
      <c r="G69" s="5" t="n"/>
      <c r="H69" s="5" t="n"/>
      <c r="I69" s="6" t="n"/>
    </row>
    <row r="70" ht="22" customHeight="1">
      <c r="A70" s="76" t="inlineStr">
        <is>
          <t>Government Type</t>
        </is>
      </c>
      <c r="B70" s="17" t="inlineStr">
        <is>
          <t>Unitary Semi-Presidential Constitutional Republic</t>
        </is>
      </c>
      <c r="C70" s="5" t="n"/>
      <c r="D70" s="5" t="n"/>
      <c r="E70" s="5" t="n"/>
      <c r="F70" s="5" t="n"/>
      <c r="G70" s="5" t="n"/>
      <c r="H70" s="5" t="n"/>
      <c r="I70" s="6" t="n"/>
    </row>
    <row r="71" ht="22" customHeight="1">
      <c r="A71" s="77" t="inlineStr">
        <is>
          <t>Electoral System</t>
        </is>
      </c>
      <c r="B71" s="78" t="inlineStr">
        <is>
          <t>Two-Round System (Runoff) for President and National Assembly</t>
        </is>
      </c>
      <c r="C71" s="5" t="n"/>
      <c r="D71" s="5" t="n"/>
      <c r="E71" s="5" t="n"/>
      <c r="F71" s="5" t="n"/>
      <c r="G71" s="5" t="n"/>
      <c r="H71" s="5" t="n"/>
      <c r="I71" s="6" t="n"/>
    </row>
    <row r="72" ht="22" customHeight="1">
      <c r="A72" s="76" t="inlineStr">
        <is>
          <t>Legislature</t>
        </is>
      </c>
      <c r="B72" s="17" t="inlineStr">
        <is>
          <t>Bicameral — National Assembly (577) + Senate (348)</t>
        </is>
      </c>
      <c r="C72" s="5" t="n"/>
      <c r="D72" s="5" t="n"/>
      <c r="E72" s="5" t="n"/>
      <c r="F72" s="5" t="n"/>
      <c r="G72" s="5" t="n"/>
      <c r="H72" s="5" t="n"/>
      <c r="I72" s="6" t="n"/>
    </row>
    <row r="73" ht="22" customHeight="1">
      <c r="A73" s="77" t="inlineStr">
        <is>
          <t>Executive</t>
        </is>
      </c>
      <c r="B73" s="78" t="inlineStr">
        <is>
          <t>Directly elected President (5-year term) + Prime Minister</t>
        </is>
      </c>
      <c r="C73" s="5" t="n"/>
      <c r="D73" s="5" t="n"/>
      <c r="E73" s="5" t="n"/>
      <c r="F73" s="5" t="n"/>
      <c r="G73" s="5" t="n"/>
      <c r="H73" s="5" t="n"/>
      <c r="I73" s="6" t="n"/>
    </row>
    <row r="74" ht="22" customHeight="1">
      <c r="A74" s="76" t="inlineStr">
        <is>
          <t>Voting Age</t>
        </is>
      </c>
      <c r="B74" s="17" t="inlineStr">
        <is>
          <t>18</t>
        </is>
      </c>
      <c r="C74" s="5" t="n"/>
      <c r="D74" s="5" t="n"/>
      <c r="E74" s="5" t="n"/>
      <c r="F74" s="5" t="n"/>
      <c r="G74" s="5" t="n"/>
      <c r="H74" s="5" t="n"/>
      <c r="I74" s="6" t="n"/>
    </row>
    <row r="75" ht="22" customHeight="1">
      <c r="A75" s="77" t="inlineStr">
        <is>
          <t>Voter Registration</t>
        </is>
      </c>
      <c r="B75" s="78" t="inlineStr">
        <is>
          <t>Automatic for citizens; deadline January 31 or 6 weeks before election</t>
        </is>
      </c>
      <c r="C75" s="5" t="n"/>
      <c r="D75" s="5" t="n"/>
      <c r="E75" s="5" t="n"/>
      <c r="F75" s="5" t="n"/>
      <c r="G75" s="5" t="n"/>
      <c r="H75" s="5" t="n"/>
      <c r="I75" s="6" t="n"/>
    </row>
    <row r="76" ht="22" customHeight="1">
      <c r="A76" s="76" t="inlineStr">
        <is>
          <t>Election Day</t>
        </is>
      </c>
      <c r="B76" s="17" t="inlineStr">
        <is>
          <t>Sunday; polls 8am–8pm (7pm in some areas)</t>
        </is>
      </c>
      <c r="C76" s="5" t="n"/>
      <c r="D76" s="5" t="n"/>
      <c r="E76" s="5" t="n"/>
      <c r="F76" s="5" t="n"/>
      <c r="G76" s="5" t="n"/>
      <c r="H76" s="5" t="n"/>
      <c r="I76" s="6" t="n"/>
    </row>
    <row r="77" ht="22" customHeight="1">
      <c r="A77" s="77" t="inlineStr">
        <is>
          <t>Compulsory Voting</t>
        </is>
      </c>
      <c r="B77" s="78" t="inlineStr">
        <is>
          <t>No (but historically higher participation)</t>
        </is>
      </c>
      <c r="C77" s="5" t="n"/>
      <c r="D77" s="5" t="n"/>
      <c r="E77" s="5" t="n"/>
      <c r="F77" s="5" t="n"/>
      <c r="G77" s="5" t="n"/>
      <c r="H77" s="5" t="n"/>
      <c r="I77" s="6" t="n"/>
    </row>
    <row r="78" ht="22" customHeight="1">
      <c r="A78" s="76" t="inlineStr">
        <is>
          <t>Two-Round System</t>
        </is>
      </c>
      <c r="B78" s="17" t="inlineStr">
        <is>
          <t>If no candidate gets 50%+1 in round 1, top candidates go to round 2</t>
        </is>
      </c>
      <c r="C78" s="5" t="n"/>
      <c r="D78" s="5" t="n"/>
      <c r="E78" s="5" t="n"/>
      <c r="F78" s="5" t="n"/>
      <c r="G78" s="5" t="n"/>
      <c r="H78" s="5" t="n"/>
      <c r="I78" s="6" t="n"/>
    </row>
    <row r="79" ht="22" customHeight="1">
      <c r="A79" s="77" t="inlineStr">
        <is>
          <t>Proportional Elements</t>
        </is>
      </c>
      <c r="B79" s="78" t="inlineStr">
        <is>
          <t>Senate and European Parliament elections use proportional representation</t>
        </is>
      </c>
      <c r="C79" s="5" t="n"/>
      <c r="D79" s="5" t="n"/>
      <c r="E79" s="5" t="n"/>
      <c r="F79" s="5" t="n"/>
      <c r="G79" s="5" t="n"/>
      <c r="H79" s="5" t="n"/>
      <c r="I79" s="6" t="n"/>
    </row>
    <row r="80" ht="22" customHeight="1">
      <c r="A80" s="76" t="inlineStr">
        <is>
          <t>Presidential Race</t>
        </is>
      </c>
      <c r="B80" s="17" t="inlineStr">
        <is>
          <t>2022: Macron 58.5% vs Le Pen 41.5% in second round</t>
        </is>
      </c>
      <c r="C80" s="5" t="n"/>
      <c r="D80" s="5" t="n"/>
      <c r="E80" s="5" t="n"/>
      <c r="F80" s="5" t="n"/>
      <c r="G80" s="5" t="n"/>
      <c r="H80" s="5" t="n"/>
      <c r="I80" s="6" t="n"/>
    </row>
    <row r="81" ht="22" customHeight="1">
      <c r="A81" s="77" t="inlineStr">
        <is>
          <t>Voter Turnout (2022)</t>
        </is>
      </c>
      <c r="B81" s="78" t="inlineStr">
        <is>
          <t>~73.7% (Presidential round 2)</t>
        </is>
      </c>
      <c r="C81" s="5" t="n"/>
      <c r="D81" s="5" t="n"/>
      <c r="E81" s="5" t="n"/>
      <c r="F81" s="5" t="n"/>
      <c r="G81" s="5" t="n"/>
      <c r="H81" s="5" t="n"/>
      <c r="I81" s="6" t="n"/>
    </row>
    <row r="82" ht="22" customHeight="1">
      <c r="A82" s="76" t="inlineStr">
        <is>
          <t>Key Milestone</t>
        </is>
      </c>
      <c r="B82" s="17" t="inlineStr">
        <is>
          <t>Women's suffrage granted by de Gaulle's government in 1944</t>
        </is>
      </c>
      <c r="C82" s="5" t="n"/>
      <c r="D82" s="5" t="n"/>
      <c r="E82" s="5" t="n"/>
      <c r="F82" s="5" t="n"/>
      <c r="G82" s="5" t="n"/>
      <c r="H82" s="5" t="n"/>
      <c r="I82" s="6" t="n"/>
    </row>
    <row r="84" ht="30" customHeight="1">
      <c r="A84" s="83" t="inlineStr">
        <is>
          <t>🇧🇷 Federative Republic of Brazil</t>
        </is>
      </c>
    </row>
    <row r="85" ht="28" customHeight="1">
      <c r="A85" s="75" t="inlineStr">
        <is>
          <t>Attribute</t>
        </is>
      </c>
      <c r="B85" s="75" t="inlineStr">
        <is>
          <t>Value / Description</t>
        </is>
      </c>
      <c r="C85" s="5" t="n"/>
      <c r="D85" s="5" t="n"/>
      <c r="E85" s="5" t="n"/>
      <c r="F85" s="5" t="n"/>
      <c r="G85" s="5" t="n"/>
      <c r="H85" s="5" t="n"/>
      <c r="I85" s="6" t="n"/>
    </row>
    <row r="86" ht="22" customHeight="1">
      <c r="A86" s="76" t="inlineStr">
        <is>
          <t>Government Type</t>
        </is>
      </c>
      <c r="B86" s="17" t="inlineStr">
        <is>
          <t>Federal Presidential Constitutional Republic</t>
        </is>
      </c>
      <c r="C86" s="5" t="n"/>
      <c r="D86" s="5" t="n"/>
      <c r="E86" s="5" t="n"/>
      <c r="F86" s="5" t="n"/>
      <c r="G86" s="5" t="n"/>
      <c r="H86" s="5" t="n"/>
      <c r="I86" s="6" t="n"/>
    </row>
    <row r="87" ht="22" customHeight="1">
      <c r="A87" s="77" t="inlineStr">
        <is>
          <t>Electoral System</t>
        </is>
      </c>
      <c r="B87" s="78" t="inlineStr">
        <is>
          <t>Two-Round for President; Proportional for legislature</t>
        </is>
      </c>
      <c r="C87" s="5" t="n"/>
      <c r="D87" s="5" t="n"/>
      <c r="E87" s="5" t="n"/>
      <c r="F87" s="5" t="n"/>
      <c r="G87" s="5" t="n"/>
      <c r="H87" s="5" t="n"/>
      <c r="I87" s="6" t="n"/>
    </row>
    <row r="88" ht="22" customHeight="1">
      <c r="A88" s="76" t="inlineStr">
        <is>
          <t>Legislature</t>
        </is>
      </c>
      <c r="B88" s="17" t="inlineStr">
        <is>
          <t>Bicameral — Chamber of Deputies (513) + Senate (81)</t>
        </is>
      </c>
      <c r="C88" s="5" t="n"/>
      <c r="D88" s="5" t="n"/>
      <c r="E88" s="5" t="n"/>
      <c r="F88" s="5" t="n"/>
      <c r="G88" s="5" t="n"/>
      <c r="H88" s="5" t="n"/>
      <c r="I88" s="6" t="n"/>
    </row>
    <row r="89" ht="22" customHeight="1">
      <c r="A89" s="77" t="inlineStr">
        <is>
          <t>Executive</t>
        </is>
      </c>
      <c r="B89" s="78" t="inlineStr">
        <is>
          <t>Directly elected President (4-year term, max 2 terms)</t>
        </is>
      </c>
      <c r="C89" s="5" t="n"/>
      <c r="D89" s="5" t="n"/>
      <c r="E89" s="5" t="n"/>
      <c r="F89" s="5" t="n"/>
      <c r="G89" s="5" t="n"/>
      <c r="H89" s="5" t="n"/>
      <c r="I89" s="6" t="n"/>
    </row>
    <row r="90" ht="22" customHeight="1">
      <c r="A90" s="76" t="inlineStr">
        <is>
          <t>Voting Age</t>
        </is>
      </c>
      <c r="B90" s="17" t="inlineStr">
        <is>
          <t>18 mandatory; 16–17 and 70+ optional</t>
        </is>
      </c>
      <c r="C90" s="5" t="n"/>
      <c r="D90" s="5" t="n"/>
      <c r="E90" s="5" t="n"/>
      <c r="F90" s="5" t="n"/>
      <c r="G90" s="5" t="n"/>
      <c r="H90" s="5" t="n"/>
      <c r="I90" s="6" t="n"/>
    </row>
    <row r="91" ht="22" customHeight="1">
      <c r="A91" s="77" t="inlineStr">
        <is>
          <t>Voter Registration</t>
        </is>
      </c>
      <c r="B91" s="78" t="inlineStr">
        <is>
          <t>Mandatory for 18–70 year olds; done at Electoral Courts</t>
        </is>
      </c>
      <c r="C91" s="5" t="n"/>
      <c r="D91" s="5" t="n"/>
      <c r="E91" s="5" t="n"/>
      <c r="F91" s="5" t="n"/>
      <c r="G91" s="5" t="n"/>
      <c r="H91" s="5" t="n"/>
      <c r="I91" s="6" t="n"/>
    </row>
    <row r="92" ht="22" customHeight="1">
      <c r="A92" s="76" t="inlineStr">
        <is>
          <t>Election Day</t>
        </is>
      </c>
      <c r="B92" s="17" t="inlineStr">
        <is>
          <t>First Sunday in October; runoff last Sunday of October</t>
        </is>
      </c>
      <c r="C92" s="5" t="n"/>
      <c r="D92" s="5" t="n"/>
      <c r="E92" s="5" t="n"/>
      <c r="F92" s="5" t="n"/>
      <c r="G92" s="5" t="n"/>
      <c r="H92" s="5" t="n"/>
      <c r="I92" s="6" t="n"/>
    </row>
    <row r="93" ht="22" customHeight="1">
      <c r="A93" s="77" t="inlineStr">
        <is>
          <t>Compulsory Voting</t>
        </is>
      </c>
      <c r="B93" s="78" t="inlineStr">
        <is>
          <t>Yes — mandatory for 18–70 year olds; fines for abstention</t>
        </is>
      </c>
      <c r="C93" s="5" t="n"/>
      <c r="D93" s="5" t="n"/>
      <c r="E93" s="5" t="n"/>
      <c r="F93" s="5" t="n"/>
      <c r="G93" s="5" t="n"/>
      <c r="H93" s="5" t="n"/>
      <c r="I93" s="6" t="n"/>
    </row>
    <row r="94" ht="22" customHeight="1">
      <c r="A94" s="76" t="inlineStr">
        <is>
          <t>Electronic Voting</t>
        </is>
      </c>
      <c r="B94" s="17" t="inlineStr">
        <is>
          <t>Electronic ballot boxes used nationally since 2000</t>
        </is>
      </c>
      <c r="C94" s="5" t="n"/>
      <c r="D94" s="5" t="n"/>
      <c r="E94" s="5" t="n"/>
      <c r="F94" s="5" t="n"/>
      <c r="G94" s="5" t="n"/>
      <c r="H94" s="5" t="n"/>
      <c r="I94" s="6" t="n"/>
    </row>
    <row r="95" ht="22" customHeight="1">
      <c r="A95" s="77" t="inlineStr">
        <is>
          <t>Open List PR</t>
        </is>
      </c>
      <c r="B95" s="78" t="inlineStr">
        <is>
          <t>Voters can choose individual candidates within a party list</t>
        </is>
      </c>
      <c r="C95" s="5" t="n"/>
      <c r="D95" s="5" t="n"/>
      <c r="E95" s="5" t="n"/>
      <c r="F95" s="5" t="n"/>
      <c r="G95" s="5" t="n"/>
      <c r="H95" s="5" t="n"/>
      <c r="I95" s="6" t="n"/>
    </row>
    <row r="96" ht="22" customHeight="1">
      <c r="A96" s="76" t="inlineStr">
        <is>
          <t>Fragmented Parliament</t>
        </is>
      </c>
      <c r="B96" s="17" t="inlineStr">
        <is>
          <t>Over 30 parties represented; coalition-building essential</t>
        </is>
      </c>
      <c r="C96" s="5" t="n"/>
      <c r="D96" s="5" t="n"/>
      <c r="E96" s="5" t="n"/>
      <c r="F96" s="5" t="n"/>
      <c r="G96" s="5" t="n"/>
      <c r="H96" s="5" t="n"/>
      <c r="I96" s="6" t="n"/>
    </row>
    <row r="97" ht="22" customHeight="1">
      <c r="A97" s="77" t="inlineStr">
        <is>
          <t>Voter Turnout (2022)</t>
        </is>
      </c>
      <c r="B97" s="78" t="inlineStr">
        <is>
          <t>~78.9%</t>
        </is>
      </c>
      <c r="C97" s="5" t="n"/>
      <c r="D97" s="5" t="n"/>
      <c r="E97" s="5" t="n"/>
      <c r="F97" s="5" t="n"/>
      <c r="G97" s="5" t="n"/>
      <c r="H97" s="5" t="n"/>
      <c r="I97" s="6" t="n"/>
    </row>
    <row r="98" ht="22" customHeight="1">
      <c r="A98" s="76" t="inlineStr">
        <is>
          <t>Key Milestone</t>
        </is>
      </c>
      <c r="B98" s="17" t="inlineStr">
        <is>
          <t>1988 Constitution re-established democracy after military dictatorship</t>
        </is>
      </c>
      <c r="C98" s="5" t="n"/>
      <c r="D98" s="5" t="n"/>
      <c r="E98" s="5" t="n"/>
      <c r="F98" s="5" t="n"/>
      <c r="G98" s="5" t="n"/>
      <c r="H98" s="5" t="n"/>
      <c r="I98" s="6" t="n"/>
    </row>
  </sheetData>
  <mergeCells count="92">
    <mergeCell ref="B62:I62"/>
    <mergeCell ref="B54:I54"/>
    <mergeCell ref="B72:I72"/>
    <mergeCell ref="B56:I56"/>
    <mergeCell ref="B96:I96"/>
    <mergeCell ref="B70:I70"/>
    <mergeCell ref="A2:I2"/>
    <mergeCell ref="B48:I48"/>
    <mergeCell ref="B98:I98"/>
    <mergeCell ref="B8:I8"/>
    <mergeCell ref="B17:I17"/>
    <mergeCell ref="B73:I73"/>
    <mergeCell ref="B88:I88"/>
    <mergeCell ref="B82:I82"/>
    <mergeCell ref="A68:I68"/>
    <mergeCell ref="B10:I10"/>
    <mergeCell ref="B65:I65"/>
    <mergeCell ref="B9:I9"/>
    <mergeCell ref="B74:I74"/>
    <mergeCell ref="B5:I5"/>
    <mergeCell ref="B76:I76"/>
    <mergeCell ref="B45:I45"/>
    <mergeCell ref="B85:I85"/>
    <mergeCell ref="B75:I75"/>
    <mergeCell ref="B47:I47"/>
    <mergeCell ref="B59:I59"/>
    <mergeCell ref="B22:I22"/>
    <mergeCell ref="B31:I31"/>
    <mergeCell ref="B46:I46"/>
    <mergeCell ref="B12:I12"/>
    <mergeCell ref="B21:I21"/>
    <mergeCell ref="B86:I86"/>
    <mergeCell ref="B39:I39"/>
    <mergeCell ref="B14:I14"/>
    <mergeCell ref="B23:I23"/>
    <mergeCell ref="A52:I52"/>
    <mergeCell ref="B13:I13"/>
    <mergeCell ref="B78:I78"/>
    <mergeCell ref="B87:I87"/>
    <mergeCell ref="B49:I49"/>
    <mergeCell ref="B64:I64"/>
    <mergeCell ref="B33:I33"/>
    <mergeCell ref="A36:I36"/>
    <mergeCell ref="A1:I1"/>
    <mergeCell ref="B63:I63"/>
    <mergeCell ref="B41:I41"/>
    <mergeCell ref="B50:I50"/>
    <mergeCell ref="B91:I91"/>
    <mergeCell ref="B25:I25"/>
    <mergeCell ref="B66:I66"/>
    <mergeCell ref="B27:I27"/>
    <mergeCell ref="B93:I93"/>
    <mergeCell ref="B77:I77"/>
    <mergeCell ref="B11:I11"/>
    <mergeCell ref="B61:I61"/>
    <mergeCell ref="A4:I4"/>
    <mergeCell ref="B29:I29"/>
    <mergeCell ref="B69:I69"/>
    <mergeCell ref="B38:I38"/>
    <mergeCell ref="B40:I40"/>
    <mergeCell ref="B15:I15"/>
    <mergeCell ref="B55:I55"/>
    <mergeCell ref="B24:I24"/>
    <mergeCell ref="B95:I95"/>
    <mergeCell ref="B89:I89"/>
    <mergeCell ref="B79:I79"/>
    <mergeCell ref="B32:I32"/>
    <mergeCell ref="B26:I26"/>
    <mergeCell ref="B97:I97"/>
    <mergeCell ref="B7:I7"/>
    <mergeCell ref="A84:I84"/>
    <mergeCell ref="B16:I16"/>
    <mergeCell ref="B81:I81"/>
    <mergeCell ref="B90:I90"/>
    <mergeCell ref="B71:I71"/>
    <mergeCell ref="B43:I43"/>
    <mergeCell ref="B18:I18"/>
    <mergeCell ref="B58:I58"/>
    <mergeCell ref="B42:I42"/>
    <mergeCell ref="B60:I60"/>
    <mergeCell ref="B57:I57"/>
    <mergeCell ref="A20:I20"/>
    <mergeCell ref="B44:I44"/>
    <mergeCell ref="B53:I53"/>
    <mergeCell ref="B34:I34"/>
    <mergeCell ref="B28:I28"/>
    <mergeCell ref="B37:I37"/>
    <mergeCell ref="B92:I92"/>
    <mergeCell ref="B30:I30"/>
    <mergeCell ref="B6:I6"/>
    <mergeCell ref="B80:I80"/>
    <mergeCell ref="B94:I9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2026-04-25T15:48:21Z</dcterms:created>
  <dcterms:modified xmlns:dcterms="http://purl.org/dc/terms/" xmlns:xsi="http://www.w3.org/2001/XMLSchema-instance" xsi:type="dcterms:W3CDTF">2026-04-25T15:48:21Z</dcterms:modified>
</cp:coreProperties>
</file>